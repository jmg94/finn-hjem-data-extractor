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g/Coding Projects/"/>
    </mc:Choice>
  </mc:AlternateContent>
  <xr:revisionPtr revIDLastSave="0" documentId="13_ncr:1_{589B70EA-350C-904F-8E7B-9EDB0F6FEDB5}" xr6:coauthVersionLast="47" xr6:coauthVersionMax="47" xr10:uidLastSave="{00000000-0000-0000-0000-000000000000}"/>
  <bookViews>
    <workbookView xWindow="0" yWindow="660" windowWidth="30240" windowHeight="18180" xr2:uid="{00000000-000D-0000-FFFF-FFFF00000000}"/>
  </bookViews>
  <sheets>
    <sheet name="Utleieleiligheter" sheetId="12" r:id="rId1"/>
  </sheets>
  <definedNames>
    <definedName name="_xlnm._FilterDatabase" localSheetId="0" hidden="1">Utleieleiligheter!$C$7:$CA$9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1" i="12" l="1"/>
  <c r="T10" i="12"/>
  <c r="Y10" i="12"/>
  <c r="AC10" i="12" s="1"/>
  <c r="AP10" i="12" s="1"/>
  <c r="T11" i="12"/>
  <c r="M11" i="12" s="1"/>
  <c r="M10" i="12"/>
  <c r="AC11" i="12"/>
  <c r="L11" i="12"/>
  <c r="L10" i="12"/>
  <c r="AH11" i="12"/>
  <c r="AU11" i="12" s="1"/>
  <c r="AF11" i="12"/>
  <c r="AS11" i="12" s="1"/>
  <c r="AE11" i="12"/>
  <c r="AR11" i="12" s="1"/>
  <c r="AA11" i="12"/>
  <c r="O11" i="12"/>
  <c r="AG11" i="12" s="1"/>
  <c r="AT11" i="12" s="1"/>
  <c r="K11" i="12"/>
  <c r="H11" i="12"/>
  <c r="E11" i="12"/>
  <c r="D11" i="12"/>
  <c r="AH10" i="12"/>
  <c r="AU10" i="12" s="1"/>
  <c r="AF10" i="12"/>
  <c r="AS10" i="12" s="1"/>
  <c r="AE10" i="12"/>
  <c r="AR10" i="12" s="1"/>
  <c r="AA10" i="12"/>
  <c r="O10" i="12"/>
  <c r="AG10" i="12" s="1"/>
  <c r="AT10" i="12" s="1"/>
  <c r="K10" i="12"/>
  <c r="H10" i="12"/>
  <c r="E10" i="12"/>
  <c r="D10" i="12"/>
  <c r="AH9" i="12"/>
  <c r="AU9" i="12" s="1"/>
  <c r="AF9" i="12"/>
  <c r="AS9" i="12" s="1"/>
  <c r="AE9" i="12"/>
  <c r="AR9" i="12" s="1"/>
  <c r="AA9" i="12"/>
  <c r="Y9" i="12"/>
  <c r="AC9" i="12" s="1"/>
  <c r="AP9" i="12" s="1"/>
  <c r="S9" i="12"/>
  <c r="M9" i="12" s="1"/>
  <c r="O9" i="12"/>
  <c r="V9" i="12" s="1"/>
  <c r="AG9" i="12" s="1"/>
  <c r="AT9" i="12" s="1"/>
  <c r="K9" i="12"/>
  <c r="H9" i="12"/>
  <c r="E9" i="12"/>
  <c r="D9" i="12"/>
  <c r="AH8" i="12"/>
  <c r="AU8" i="12" s="1"/>
  <c r="AF8" i="12"/>
  <c r="AS8" i="12" s="1"/>
  <c r="AE8" i="12"/>
  <c r="AR8" i="12" s="1"/>
  <c r="AA8" i="12"/>
  <c r="Y8" i="12"/>
  <c r="AC8" i="12" s="1"/>
  <c r="AP8" i="12" s="1"/>
  <c r="S8" i="12"/>
  <c r="M8" i="12" s="1"/>
  <c r="N8" i="12" s="1"/>
  <c r="O8" i="12"/>
  <c r="V8" i="12" s="1"/>
  <c r="AG8" i="12" s="1"/>
  <c r="AT8" i="12" s="1"/>
  <c r="K8" i="12"/>
  <c r="H8" i="12"/>
  <c r="E8" i="12"/>
  <c r="N10" i="12" l="1"/>
  <c r="AL10" i="12"/>
  <c r="AY10" i="12" s="1"/>
  <c r="P8" i="12"/>
  <c r="AL9" i="12"/>
  <c r="AY9" i="12" s="1"/>
  <c r="G10" i="12"/>
  <c r="AD10" i="12"/>
  <c r="AI10" i="12" s="1"/>
  <c r="AV10" i="12" s="1"/>
  <c r="F10" i="12"/>
  <c r="P9" i="12"/>
  <c r="AL8" i="12"/>
  <c r="AY8" i="12" s="1"/>
  <c r="F8" i="12"/>
  <c r="P10" i="12"/>
  <c r="F11" i="12"/>
  <c r="AP11" i="12"/>
  <c r="P11" i="12" s="1"/>
  <c r="AL11" i="12"/>
  <c r="AD11" i="12"/>
  <c r="AQ11" i="12" s="1"/>
  <c r="N11" i="12"/>
  <c r="G11" i="12"/>
  <c r="N9" i="12"/>
  <c r="F9" i="12"/>
  <c r="G9" i="12"/>
  <c r="AD8" i="12"/>
  <c r="G8" i="12"/>
  <c r="AD9" i="12"/>
  <c r="AM9" i="12" l="1"/>
  <c r="AZ9" i="12" s="1"/>
  <c r="AQ10" i="12"/>
  <c r="AM10" i="12"/>
  <c r="AZ10" i="12" s="1"/>
  <c r="AJ10" i="12"/>
  <c r="AK10" i="12" s="1"/>
  <c r="AQ8" i="12"/>
  <c r="AM8" i="12"/>
  <c r="AZ8" i="12" s="1"/>
  <c r="AI8" i="12"/>
  <c r="AY11" i="12"/>
  <c r="AM11" i="12"/>
  <c r="AZ11" i="12" s="1"/>
  <c r="AQ9" i="12"/>
  <c r="AI9" i="12"/>
  <c r="AI11" i="12"/>
  <c r="AW10" i="12" l="1"/>
  <c r="I10" i="12"/>
  <c r="AN10" i="12"/>
  <c r="AX10" i="12"/>
  <c r="AJ11" i="12"/>
  <c r="AW11" i="12" s="1"/>
  <c r="AV11" i="12"/>
  <c r="AJ9" i="12"/>
  <c r="AW9" i="12" s="1"/>
  <c r="AV9" i="12"/>
  <c r="AV8" i="12"/>
  <c r="AJ8" i="12"/>
  <c r="AW8" i="12" s="1"/>
  <c r="B9" i="12" l="1"/>
  <c r="B8" i="12"/>
  <c r="B10" i="12"/>
  <c r="B11" i="12"/>
  <c r="AK8" i="12"/>
  <c r="AX8" i="12" s="1"/>
  <c r="AK9" i="12"/>
  <c r="AK11" i="12"/>
  <c r="J10" i="12"/>
  <c r="BA10" i="12"/>
  <c r="AN8" i="12" l="1"/>
  <c r="J8" i="12" s="1"/>
  <c r="I8" i="12"/>
  <c r="AX11" i="12"/>
  <c r="I11" i="12"/>
  <c r="AN11" i="12"/>
  <c r="AN9" i="12"/>
  <c r="AX9" i="12"/>
  <c r="I9" i="12"/>
  <c r="BA8" i="12" l="1"/>
  <c r="BA9" i="12"/>
  <c r="J9" i="12"/>
  <c r="J11" i="12"/>
  <c r="BA1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 Gjøsund</author>
  </authors>
  <commentList>
    <comment ref="T10" authorId="0" shapeId="0" xr:uid="{7F4CA9A9-B4E4-0D41-B627-B690EFB550DE}">
      <text>
        <r>
          <rPr>
            <b/>
            <sz val="10"/>
            <color rgb="FF000000"/>
            <rFont val="Tahoma"/>
            <family val="2"/>
          </rPr>
          <t>Jon Gjøsund: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Kjøperforsikring</t>
        </r>
      </text>
    </comment>
    <comment ref="V10" authorId="0" shapeId="0" xr:uid="{7CDB182F-31D3-4E4E-8695-1BFB954C102B}">
      <text>
        <r>
          <rPr>
            <b/>
            <sz val="10"/>
            <color rgb="FF000000"/>
            <rFont val="Tahoma"/>
            <family val="2"/>
          </rPr>
          <t>Jon Gjøsund: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Fra DNB</t>
        </r>
      </text>
    </comment>
    <comment ref="T11" authorId="0" shapeId="0" xr:uid="{D0F22B48-4EA6-3847-9D4C-A260C89A0E63}">
      <text>
        <r>
          <rPr>
            <b/>
            <sz val="10"/>
            <color rgb="FF000000"/>
            <rFont val="Tahoma"/>
            <family val="2"/>
          </rPr>
          <t>Jon Gjøsund: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Kjøperforsikring</t>
        </r>
      </text>
    </comment>
    <comment ref="V11" authorId="0" shapeId="0" xr:uid="{317C300D-715D-CE4B-BCF6-345753BE6CC0}">
      <text>
        <r>
          <rPr>
            <b/>
            <sz val="10"/>
            <color rgb="FF000000"/>
            <rFont val="Tahoma"/>
            <family val="2"/>
          </rPr>
          <t>Jon Gjøsund: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Fra DNB</t>
        </r>
      </text>
    </comment>
  </commentList>
</comments>
</file>

<file path=xl/sharedStrings.xml><?xml version="1.0" encoding="utf-8"?>
<sst xmlns="http://schemas.openxmlformats.org/spreadsheetml/2006/main" count="128" uniqueCount="102">
  <si>
    <t>Kapitalkost</t>
  </si>
  <si>
    <t>Skatt</t>
  </si>
  <si>
    <t>Oppsummering</t>
  </si>
  <si>
    <t>Antakelser/justeringer</t>
  </si>
  <si>
    <t>Årlig</t>
  </si>
  <si>
    <t>Månedtlig</t>
  </si>
  <si>
    <t>Finn-info</t>
  </si>
  <si>
    <t>Addresse</t>
  </si>
  <si>
    <t>Brutto yield</t>
  </si>
  <si>
    <t>Resultat etter skatt</t>
  </si>
  <si>
    <t>Cash flow</t>
  </si>
  <si>
    <t>BRA-i</t>
  </si>
  <si>
    <t>Kommentar</t>
  </si>
  <si>
    <t>Utilization</t>
  </si>
  <si>
    <t>Inntekter</t>
  </si>
  <si>
    <t>Kapitalkostnad</t>
  </si>
  <si>
    <t>Internett/ TV</t>
  </si>
  <si>
    <t>FK + komm. avgifter + ei. skatt</t>
  </si>
  <si>
    <t>Forsikring</t>
  </si>
  <si>
    <t>Strøm</t>
  </si>
  <si>
    <t>Resultat før skatt</t>
  </si>
  <si>
    <t>Termin-
beløp</t>
  </si>
  <si>
    <t>Avdrag</t>
  </si>
  <si>
    <t>Kapital-
kostnad</t>
  </si>
  <si>
    <t>Link</t>
  </si>
  <si>
    <t>Tittel</t>
  </si>
  <si>
    <t>Prisantydning</t>
  </si>
  <si>
    <t>Totalpris</t>
  </si>
  <si>
    <t>Omkostninger</t>
  </si>
  <si>
    <t>Fellesgjeld</t>
  </si>
  <si>
    <t>Felleskostnader</t>
  </si>
  <si>
    <t>Kommunale avgifter</t>
  </si>
  <si>
    <t>Eiendoms-
skatt</t>
  </si>
  <si>
    <t>Boligtype</t>
  </si>
  <si>
    <t>Eieform</t>
  </si>
  <si>
    <t>Soverom</t>
  </si>
  <si>
    <t>Intern bruksareal</t>
  </si>
  <si>
    <t>Bruksareal</t>
  </si>
  <si>
    <t>Eksternt bruksareal</t>
  </si>
  <si>
    <t>Etasje</t>
  </si>
  <si>
    <t>Byggeår</t>
  </si>
  <si>
    <t>Energimerking</t>
  </si>
  <si>
    <t>Rom</t>
  </si>
  <si>
    <t>Tomteareal</t>
  </si>
  <si>
    <t>Fellekostnader beskrivelse</t>
  </si>
  <si>
    <t>Eier (Selveier)</t>
  </si>
  <si>
    <t>Leilighet</t>
  </si>
  <si>
    <t>F - Oransje</t>
  </si>
  <si>
    <t>G - Rød</t>
  </si>
  <si>
    <t>https://www.finn.no/realestate/homes/ad.html?finnkode=413323513</t>
  </si>
  <si>
    <t>Bygård/Flermannsbolig</t>
  </si>
  <si>
    <t>Totalpris 
(incl. oppussing)</t>
  </si>
  <si>
    <t>Over prisantydning (før omkostninger)</t>
  </si>
  <si>
    <t>Rekkehus</t>
  </si>
  <si>
    <t>Prisant. (Totalpris)</t>
  </si>
  <si>
    <t>Sist endret</t>
  </si>
  <si>
    <t>Flermannsbolig over to plan + loft og kjeller. Tre separate innganger. Sentralt i et område under full utvikling.</t>
  </si>
  <si>
    <t>Svaneviksveien 78, 5063 Bergen</t>
  </si>
  <si>
    <t>30. juni 2025 19:19</t>
  </si>
  <si>
    <t>28.09.2025 21:09</t>
  </si>
  <si>
    <t>x</t>
  </si>
  <si>
    <t>FK + kommunale avgifter + eiendomsskatt</t>
  </si>
  <si>
    <t>URL</t>
  </si>
  <si>
    <t>Oppussing / fiksing</t>
  </si>
  <si>
    <t>23.10.2025</t>
  </si>
  <si>
    <t>https://www.finn.no/realestate/homes/ad.html?finnkode=432202020</t>
  </si>
  <si>
    <t>Nydelig 4-roms leilighet med hybel(ikke godkjent), altan, felles hage og terrasse. Egen garasje. Familievennlig og rolig</t>
  </si>
  <si>
    <t>Fageråsveien 30, 5067 Bergen</t>
  </si>
  <si>
    <t>16. okt. 2025 13:02</t>
  </si>
  <si>
    <t>18.10.2025 11:37</t>
  </si>
  <si>
    <t>Gikk 1.4m over prisantydnin</t>
  </si>
  <si>
    <t>Type</t>
  </si>
  <si>
    <t>Pris per BRA-i</t>
  </si>
  <si>
    <t>Rente</t>
  </si>
  <si>
    <t>Andre felleskost (per mnd)</t>
  </si>
  <si>
    <t>Forsikring
(per år)</t>
  </si>
  <si>
    <t>Internett/TV
(per mnd)</t>
  </si>
  <si>
    <t>Strøm
(per mnd)</t>
  </si>
  <si>
    <t>Leie
(per mnd)</t>
  </si>
  <si>
    <t>Internett</t>
  </si>
  <si>
    <t>Leie/BRA-i</t>
  </si>
  <si>
    <t>Antakelser:</t>
  </si>
  <si>
    <t>https://www.finn.no/realestate/homes/ad.html?finnkode=445935846</t>
  </si>
  <si>
    <t>Nydelig, innholdsrikt Bergenshus på Sydnes med mulighet for utleie | Unik mulighet!</t>
  </si>
  <si>
    <t>Sydneshaugen 6, 5007 Bergen</t>
  </si>
  <si>
    <t>18. jan. 2026 22:35</t>
  </si>
  <si>
    <t>25.01.2026</t>
  </si>
  <si>
    <t>18.01.2026 22:38</t>
  </si>
  <si>
    <t>High case</t>
  </si>
  <si>
    <t>#</t>
  </si>
  <si>
    <t>Net yld
(f. skatt)</t>
  </si>
  <si>
    <t>RES</t>
  </si>
  <si>
    <t>CF</t>
  </si>
  <si>
    <t>Prisant.
(Totalpris)</t>
  </si>
  <si>
    <t>Visning</t>
  </si>
  <si>
    <t>Info hentet</t>
  </si>
  <si>
    <t>Kommunenr</t>
  </si>
  <si>
    <t>Gårdsnr</t>
  </si>
  <si>
    <t>Bruksnr</t>
  </si>
  <si>
    <t>Seksjonsnr</t>
  </si>
  <si>
    <t>Megler</t>
  </si>
  <si>
    <t>Base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</si>
</sst>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yyyy\-mm\-dd"/>
    <numFmt numFmtId="166" formatCode="0.0\ %"/>
    <numFmt numFmtId="167" formatCode="_(#,##0_)_%;\(#,##0\)_%;_(&quot;–&quot;_)_%;_(@_)_%"/>
    <numFmt numFmtId="169" formatCode="_(#,##0.0%_);\(#,##0.0%\);_(&quot;–&quot;_)_%;_(@_)_%"/>
    <numFmt numFmtId="170" formatCode="_(#,##0.00%_);\(#,##0.00%\);_(&quot;–&quot;_)_%;_(@_)_%"/>
    <numFmt numFmtId="171" formatCode="_(#,##0%_);\(#,##0%\);_(&quot;–&quot;_)_%;_(@_)_%"/>
    <numFmt numFmtId="172" formatCode="_(###0_)_%;\(###0\)_%;_(&quot;–&quot;_)_%;_(@_)_%"/>
    <numFmt numFmtId="173" formatCode="_(#,##0.00_)_%;\(#,##0.00\)_%;_(&quot;–&quot;_)_%;_(@_)_%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  <scheme val="minor"/>
    </font>
    <font>
      <sz val="10"/>
      <color rgb="FF0000FF"/>
      <name val="Arial"/>
      <family val="2"/>
    </font>
    <font>
      <sz val="11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/>
        <bgColor rgb="FF434343"/>
      </patternFill>
    </fill>
    <fill>
      <patternFill patternType="solid">
        <fgColor theme="5"/>
        <bgColor rgb="FFCCCCCC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12" fillId="0" borderId="0"/>
  </cellStyleXfs>
  <cellXfs count="56">
    <xf numFmtId="0" fontId="0" fillId="0" borderId="0" xfId="0"/>
    <xf numFmtId="0" fontId="1" fillId="0" borderId="0" xfId="0" applyFont="1"/>
    <xf numFmtId="3" fontId="1" fillId="0" borderId="0" xfId="0" applyNumberFormat="1" applyFont="1"/>
    <xf numFmtId="10" fontId="2" fillId="0" borderId="0" xfId="0" applyNumberFormat="1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0" fontId="2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3" fontId="10" fillId="0" borderId="0" xfId="0" applyNumberFormat="1" applyFont="1"/>
    <xf numFmtId="10" fontId="10" fillId="0" borderId="0" xfId="0" applyNumberFormat="1" applyFont="1"/>
    <xf numFmtId="0" fontId="10" fillId="0" borderId="0" xfId="0" applyFont="1"/>
    <xf numFmtId="166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167" fontId="10" fillId="0" borderId="0" xfId="0" applyNumberFormat="1" applyFont="1"/>
    <xf numFmtId="167" fontId="11" fillId="0" borderId="0" xfId="0" applyNumberFormat="1" applyFont="1" applyAlignment="1">
      <alignment horizontal="right"/>
    </xf>
    <xf numFmtId="167" fontId="2" fillId="0" borderId="0" xfId="0" applyNumberFormat="1" applyFont="1"/>
    <xf numFmtId="165" fontId="2" fillId="0" borderId="0" xfId="0" applyNumberFormat="1" applyFont="1"/>
    <xf numFmtId="14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7" fontId="7" fillId="0" borderId="0" xfId="0" applyNumberFormat="1" applyFont="1" applyAlignment="1">
      <alignment horizontal="right"/>
    </xf>
    <xf numFmtId="167" fontId="0" fillId="0" borderId="0" xfId="0" applyNumberFormat="1"/>
    <xf numFmtId="167" fontId="1" fillId="0" borderId="0" xfId="0" applyNumberFormat="1" applyFont="1"/>
    <xf numFmtId="167" fontId="6" fillId="0" borderId="0" xfId="0" applyNumberFormat="1" applyFont="1"/>
    <xf numFmtId="169" fontId="1" fillId="0" borderId="0" xfId="0" applyNumberFormat="1" applyFont="1"/>
    <xf numFmtId="169" fontId="0" fillId="0" borderId="0" xfId="0" applyNumberFormat="1"/>
    <xf numFmtId="169" fontId="6" fillId="0" borderId="0" xfId="0" applyNumberFormat="1" applyFont="1"/>
    <xf numFmtId="170" fontId="0" fillId="0" borderId="0" xfId="0" applyNumberFormat="1"/>
    <xf numFmtId="169" fontId="6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166" fontId="3" fillId="3" borderId="0" xfId="0" applyNumberFormat="1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167" fontId="3" fillId="3" borderId="0" xfId="0" applyNumberFormat="1" applyFont="1" applyFill="1" applyAlignment="1">
      <alignment horizontal="center"/>
    </xf>
    <xf numFmtId="170" fontId="2" fillId="2" borderId="1" xfId="0" applyNumberFormat="1" applyFont="1" applyFill="1" applyBorder="1"/>
    <xf numFmtId="171" fontId="2" fillId="2" borderId="1" xfId="0" applyNumberFormat="1" applyFont="1" applyFill="1" applyBorder="1"/>
    <xf numFmtId="0" fontId="4" fillId="0" borderId="0" xfId="0" applyFont="1"/>
    <xf numFmtId="172" fontId="2" fillId="0" borderId="0" xfId="0" applyNumberFormat="1" applyFont="1"/>
    <xf numFmtId="0" fontId="4" fillId="4" borderId="2" xfId="0" applyFont="1" applyFill="1" applyBorder="1" applyAlignment="1">
      <alignment horizontal="centerContinuous" wrapText="1"/>
    </xf>
    <xf numFmtId="0" fontId="4" fillId="4" borderId="3" xfId="0" applyFont="1" applyFill="1" applyBorder="1" applyAlignment="1">
      <alignment horizontal="centerContinuous" wrapText="1"/>
    </xf>
    <xf numFmtId="0" fontId="4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horizontal="right" wrapText="1"/>
    </xf>
    <xf numFmtId="166" fontId="4" fillId="4" borderId="3" xfId="0" applyNumberFormat="1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right" wrapText="1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right" wrapText="1"/>
    </xf>
    <xf numFmtId="3" fontId="4" fillId="4" borderId="3" xfId="0" applyNumberFormat="1" applyFont="1" applyFill="1" applyBorder="1" applyAlignment="1">
      <alignment horizontal="right" wrapText="1"/>
    </xf>
    <xf numFmtId="167" fontId="4" fillId="4" borderId="3" xfId="0" applyNumberFormat="1" applyFont="1" applyFill="1" applyBorder="1" applyAlignment="1">
      <alignment horizontal="right" wrapText="1"/>
    </xf>
    <xf numFmtId="0" fontId="4" fillId="4" borderId="4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center" wrapText="1"/>
    </xf>
    <xf numFmtId="173" fontId="7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C1B7AEC1-F6E6-46FA-ACEE-025C0EA34A74}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ain com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Grieg Kapital">
      <a:dk1>
        <a:sysClr val="windowText" lastClr="000000"/>
      </a:dk1>
      <a:lt1>
        <a:sysClr val="window" lastClr="FFFFFF"/>
      </a:lt1>
      <a:dk2>
        <a:srgbClr val="091143"/>
      </a:dk2>
      <a:lt2>
        <a:srgbClr val="F9F5F5"/>
      </a:lt2>
      <a:accent1>
        <a:srgbClr val="006EB4"/>
      </a:accent1>
      <a:accent2>
        <a:srgbClr val="A2D3EA"/>
      </a:accent2>
      <a:accent3>
        <a:srgbClr val="59C88C"/>
      </a:accent3>
      <a:accent4>
        <a:srgbClr val="A6DEC8"/>
      </a:accent4>
      <a:accent5>
        <a:srgbClr val="FFA429"/>
      </a:accent5>
      <a:accent6>
        <a:srgbClr val="FDD2A9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34068D0-0F2E-F848-B913-FB1FF9DC31DD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5A7AD7B-A2CE-424D-9096-ADDF837FB50D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inn.no/realestate/homes/ad.html?finnkode=413323513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8FFD-5F4A-4027-8D24-F850F1E239C7}">
  <sheetPr codeName="Sheet1">
    <outlinePr summaryBelow="0" summaryRight="0"/>
  </sheetPr>
  <dimension ref="B1:CF106"/>
  <sheetViews>
    <sheetView showGridLines="0" tabSelected="1" zoomScale="116" zoomScaleNormal="210" workbookViewId="0">
      <pane xSplit="7" ySplit="7" topLeftCell="H8" activePane="bottomRight" state="frozen"/>
      <selection pane="topRight" activeCell="F1" sqref="F1"/>
      <selection pane="bottomLeft" activeCell="A8" sqref="A8"/>
      <selection pane="bottomRight" activeCell="K21" sqref="K21"/>
    </sheetView>
  </sheetViews>
  <sheetFormatPr baseColWidth="10" defaultColWidth="12.6640625" defaultRowHeight="15.75" customHeight="1" x14ac:dyDescent="0.15"/>
  <cols>
    <col min="1" max="1" width="1.5" customWidth="1"/>
    <col min="2" max="2" width="5" customWidth="1"/>
    <col min="3" max="3" width="2.6640625" customWidth="1"/>
    <col min="4" max="4" width="5.6640625" customWidth="1"/>
    <col min="5" max="5" width="23.5" customWidth="1"/>
    <col min="6" max="6" width="7.33203125" customWidth="1"/>
    <col min="7" max="7" width="7.33203125" style="14" customWidth="1"/>
    <col min="8" max="8" width="4" customWidth="1"/>
    <col min="9" max="9" width="10.83203125" customWidth="1"/>
    <col min="10" max="10" width="12.1640625" customWidth="1"/>
    <col min="11" max="11" width="12.5" customWidth="1"/>
    <col min="12" max="12" width="16" customWidth="1"/>
    <col min="13" max="13" width="18.33203125" customWidth="1"/>
    <col min="14" max="14" width="10" bestFit="1" customWidth="1"/>
    <col min="15" max="15" width="10.1640625" bestFit="1" customWidth="1"/>
    <col min="16" max="16" width="10.1640625" customWidth="1"/>
    <col min="17" max="17" width="1.5" customWidth="1"/>
    <col min="18" max="18" width="26.33203125" customWidth="1"/>
    <col min="19" max="19" width="19.33203125" customWidth="1"/>
    <col min="20" max="20" width="16.83203125" customWidth="1"/>
    <col min="21" max="21" width="18.33203125" customWidth="1"/>
    <col min="22" max="24" width="20.5" customWidth="1"/>
    <col min="25" max="25" width="13.33203125" customWidth="1"/>
    <col min="27" max="27" width="10" customWidth="1"/>
    <col min="28" max="28" width="3.1640625" customWidth="1"/>
    <col min="30" max="30" width="24.33203125" customWidth="1"/>
    <col min="32" max="32" width="20.5" customWidth="1"/>
    <col min="37" max="37" width="13.83203125" customWidth="1"/>
    <col min="41" max="41" width="2.33203125" customWidth="1"/>
    <col min="42" max="42" width="20.5" customWidth="1"/>
    <col min="45" max="45" width="23.33203125" bestFit="1" customWidth="1"/>
    <col min="54" max="54" width="1.5" customWidth="1"/>
    <col min="55" max="55" width="8.5" customWidth="1"/>
    <col min="56" max="56" width="32.5" customWidth="1"/>
    <col min="58" max="58" width="13.1640625" style="15" bestFit="1" customWidth="1"/>
    <col min="59" max="59" width="13.1640625" bestFit="1" customWidth="1"/>
    <col min="60" max="63" width="12.83203125" bestFit="1" customWidth="1"/>
    <col min="76" max="76" width="14.33203125" customWidth="1"/>
    <col min="78" max="78" width="16.33203125" customWidth="1"/>
    <col min="79" max="79" width="17.5" customWidth="1"/>
  </cols>
  <sheetData>
    <row r="1" spans="2:84" ht="13" x14ac:dyDescent="0.15">
      <c r="D1" s="1"/>
      <c r="E1" s="2"/>
      <c r="BO1" s="25"/>
      <c r="BP1" s="25"/>
      <c r="BQ1" s="25"/>
      <c r="BR1" s="25"/>
      <c r="BS1" s="25"/>
      <c r="BT1" s="25"/>
      <c r="BV1" s="25"/>
      <c r="BW1" s="25"/>
    </row>
    <row r="2" spans="2:84" ht="13" x14ac:dyDescent="0.15">
      <c r="E2" s="40" t="s">
        <v>81</v>
      </c>
      <c r="V2" s="15"/>
      <c r="BO2" s="25"/>
      <c r="BP2" s="25"/>
      <c r="BQ2" s="25"/>
      <c r="BR2" s="25"/>
      <c r="BS2" s="25"/>
      <c r="BT2" s="25"/>
      <c r="BV2" s="25"/>
      <c r="BW2" s="25"/>
    </row>
    <row r="3" spans="2:84" ht="13" x14ac:dyDescent="0.15">
      <c r="E3" s="1" t="s">
        <v>0</v>
      </c>
      <c r="F3" s="38">
        <v>4.7500000000000001E-2</v>
      </c>
      <c r="I3" s="15"/>
      <c r="K3" s="15"/>
      <c r="L3" s="15"/>
      <c r="M3" s="6"/>
      <c r="N3" s="15"/>
      <c r="O3" s="15"/>
      <c r="P3" s="15"/>
      <c r="BO3" s="25"/>
      <c r="BP3" s="25"/>
      <c r="BQ3" s="25"/>
      <c r="BR3" s="25"/>
      <c r="BS3" s="25"/>
      <c r="BT3" s="25"/>
      <c r="BV3" s="25"/>
      <c r="BW3" s="25"/>
    </row>
    <row r="4" spans="2:84" ht="13" x14ac:dyDescent="0.15">
      <c r="E4" s="1" t="s">
        <v>1</v>
      </c>
      <c r="F4" s="39">
        <v>0.22</v>
      </c>
      <c r="M4" s="5"/>
      <c r="N4" s="15"/>
      <c r="BO4" s="25"/>
      <c r="BP4" s="25"/>
      <c r="BQ4" s="25"/>
      <c r="BR4" s="25"/>
      <c r="BS4" s="25"/>
      <c r="BT4" s="25"/>
      <c r="BV4" s="25"/>
      <c r="BW4" s="25"/>
    </row>
    <row r="5" spans="2:84" ht="13" x14ac:dyDescent="0.15">
      <c r="D5" s="1"/>
      <c r="E5" s="1"/>
      <c r="K5" s="15"/>
      <c r="L5" s="15"/>
      <c r="BO5" s="25"/>
      <c r="BP5" s="25"/>
      <c r="BQ5" s="25"/>
      <c r="BR5" s="25"/>
      <c r="BS5" s="25"/>
      <c r="BT5" s="25"/>
      <c r="BV5" s="25"/>
      <c r="BW5" s="25"/>
      <c r="BY5" s="21"/>
    </row>
    <row r="6" spans="2:84" ht="13" x14ac:dyDescent="0.15">
      <c r="B6" s="33" t="s">
        <v>2</v>
      </c>
      <c r="C6" s="33"/>
      <c r="D6" s="33"/>
      <c r="E6" s="34"/>
      <c r="F6" s="34"/>
      <c r="G6" s="35"/>
      <c r="H6" s="34"/>
      <c r="I6" s="34"/>
      <c r="J6" s="34"/>
      <c r="K6" s="34"/>
      <c r="L6" s="34"/>
      <c r="M6" s="34"/>
      <c r="N6" s="34"/>
      <c r="O6" s="34"/>
      <c r="P6" s="34"/>
      <c r="R6" s="34" t="s">
        <v>3</v>
      </c>
      <c r="S6" s="34"/>
      <c r="T6" s="34"/>
      <c r="U6" s="34"/>
      <c r="V6" s="34"/>
      <c r="W6" s="34"/>
      <c r="X6" s="34"/>
      <c r="Y6" s="34"/>
      <c r="Z6" s="34"/>
      <c r="AA6" s="34"/>
      <c r="AC6" s="34" t="s">
        <v>4</v>
      </c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1"/>
      <c r="AP6" s="34" t="s">
        <v>5</v>
      </c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1"/>
      <c r="BC6" s="34" t="s">
        <v>6</v>
      </c>
      <c r="BD6" s="34"/>
      <c r="BE6" s="34"/>
      <c r="BF6" s="36"/>
      <c r="BG6" s="34"/>
      <c r="BH6" s="34"/>
      <c r="BI6" s="34"/>
      <c r="BJ6" s="34"/>
      <c r="BK6" s="34"/>
      <c r="BL6" s="34"/>
      <c r="BM6" s="34"/>
      <c r="BN6" s="34"/>
      <c r="BO6" s="37"/>
      <c r="BP6" s="37"/>
      <c r="BQ6" s="37"/>
      <c r="BR6" s="37"/>
      <c r="BS6" s="37"/>
      <c r="BT6" s="37"/>
      <c r="BU6" s="34"/>
      <c r="BV6" s="37"/>
      <c r="BW6" s="37"/>
      <c r="BX6" s="34"/>
      <c r="BY6" s="34"/>
      <c r="BZ6" s="34"/>
      <c r="CA6" s="34"/>
      <c r="CB6" s="34"/>
      <c r="CC6" s="34"/>
      <c r="CD6" s="34"/>
      <c r="CE6" s="34"/>
      <c r="CF6" s="34"/>
    </row>
    <row r="7" spans="2:84" ht="26.25" customHeight="1" x14ac:dyDescent="0.15">
      <c r="B7" s="42" t="s">
        <v>89</v>
      </c>
      <c r="C7" s="43"/>
      <c r="D7" s="44" t="s">
        <v>62</v>
      </c>
      <c r="E7" s="44" t="s">
        <v>7</v>
      </c>
      <c r="F7" s="45" t="s">
        <v>8</v>
      </c>
      <c r="G7" s="46" t="s">
        <v>90</v>
      </c>
      <c r="H7" s="47" t="s">
        <v>71</v>
      </c>
      <c r="I7" s="54" t="s">
        <v>91</v>
      </c>
      <c r="J7" s="54" t="s">
        <v>92</v>
      </c>
      <c r="K7" s="45" t="s">
        <v>93</v>
      </c>
      <c r="L7" s="45" t="s">
        <v>54</v>
      </c>
      <c r="M7" s="45" t="s">
        <v>51</v>
      </c>
      <c r="N7" s="45" t="s">
        <v>72</v>
      </c>
      <c r="O7" s="45" t="s">
        <v>11</v>
      </c>
      <c r="P7" s="48" t="s">
        <v>80</v>
      </c>
      <c r="R7" s="49" t="s">
        <v>12</v>
      </c>
      <c r="S7" s="45" t="s">
        <v>52</v>
      </c>
      <c r="T7" s="45" t="s">
        <v>63</v>
      </c>
      <c r="U7" s="45" t="s">
        <v>74</v>
      </c>
      <c r="V7" s="45" t="s">
        <v>75</v>
      </c>
      <c r="W7" s="45" t="s">
        <v>76</v>
      </c>
      <c r="X7" s="45" t="s">
        <v>77</v>
      </c>
      <c r="Y7" s="45" t="s">
        <v>78</v>
      </c>
      <c r="Z7" s="45" t="s">
        <v>13</v>
      </c>
      <c r="AA7" s="48" t="s">
        <v>73</v>
      </c>
      <c r="AC7" s="50" t="s">
        <v>14</v>
      </c>
      <c r="AD7" s="45" t="s">
        <v>15</v>
      </c>
      <c r="AE7" s="45" t="s">
        <v>79</v>
      </c>
      <c r="AF7" s="45" t="s">
        <v>17</v>
      </c>
      <c r="AG7" s="45" t="s">
        <v>18</v>
      </c>
      <c r="AH7" s="45" t="s">
        <v>19</v>
      </c>
      <c r="AI7" s="45" t="s">
        <v>20</v>
      </c>
      <c r="AJ7" s="45" t="s">
        <v>1</v>
      </c>
      <c r="AK7" s="45" t="s">
        <v>9</v>
      </c>
      <c r="AL7" s="45" t="s">
        <v>21</v>
      </c>
      <c r="AM7" s="45" t="s">
        <v>22</v>
      </c>
      <c r="AN7" s="48" t="s">
        <v>10</v>
      </c>
      <c r="AO7" s="1"/>
      <c r="AP7" s="50" t="s">
        <v>14</v>
      </c>
      <c r="AQ7" s="45" t="s">
        <v>23</v>
      </c>
      <c r="AR7" s="45" t="s">
        <v>16</v>
      </c>
      <c r="AS7" s="45" t="s">
        <v>61</v>
      </c>
      <c r="AT7" s="45" t="s">
        <v>18</v>
      </c>
      <c r="AU7" s="45" t="s">
        <v>19</v>
      </c>
      <c r="AV7" s="45" t="s">
        <v>20</v>
      </c>
      <c r="AW7" s="45" t="s">
        <v>1</v>
      </c>
      <c r="AX7" s="45" t="s">
        <v>9</v>
      </c>
      <c r="AY7" s="45" t="s">
        <v>21</v>
      </c>
      <c r="AZ7" s="45" t="s">
        <v>22</v>
      </c>
      <c r="BA7" s="48" t="s">
        <v>10</v>
      </c>
      <c r="BB7" s="2"/>
      <c r="BC7" s="50" t="s">
        <v>24</v>
      </c>
      <c r="BD7" s="47" t="s">
        <v>25</v>
      </c>
      <c r="BE7" s="47" t="s">
        <v>7</v>
      </c>
      <c r="BF7" s="51" t="s">
        <v>26</v>
      </c>
      <c r="BG7" s="45" t="s">
        <v>27</v>
      </c>
      <c r="BH7" s="45" t="s">
        <v>28</v>
      </c>
      <c r="BI7" s="45" t="s">
        <v>29</v>
      </c>
      <c r="BJ7" s="45" t="s">
        <v>30</v>
      </c>
      <c r="BK7" s="45" t="s">
        <v>31</v>
      </c>
      <c r="BL7" s="45" t="s">
        <v>32</v>
      </c>
      <c r="BM7" s="47" t="s">
        <v>33</v>
      </c>
      <c r="BN7" s="45" t="s">
        <v>34</v>
      </c>
      <c r="BO7" s="52" t="s">
        <v>35</v>
      </c>
      <c r="BP7" s="52" t="s">
        <v>36</v>
      </c>
      <c r="BQ7" s="52" t="s">
        <v>37</v>
      </c>
      <c r="BR7" s="52" t="s">
        <v>38</v>
      </c>
      <c r="BS7" s="52" t="s">
        <v>39</v>
      </c>
      <c r="BT7" s="52" t="s">
        <v>40</v>
      </c>
      <c r="BU7" s="45" t="s">
        <v>41</v>
      </c>
      <c r="BV7" s="52" t="s">
        <v>42</v>
      </c>
      <c r="BW7" s="52" t="s">
        <v>43</v>
      </c>
      <c r="BX7" s="47" t="s">
        <v>44</v>
      </c>
      <c r="BY7" s="47" t="s">
        <v>94</v>
      </c>
      <c r="BZ7" s="47" t="s">
        <v>55</v>
      </c>
      <c r="CA7" s="53" t="s">
        <v>95</v>
      </c>
      <c r="CB7" s="53" t="s">
        <v>96</v>
      </c>
      <c r="CC7" s="53" t="s">
        <v>97</v>
      </c>
      <c r="CD7" s="53" t="s">
        <v>98</v>
      </c>
      <c r="CE7" s="53" t="s">
        <v>99</v>
      </c>
      <c r="CF7" s="53" t="s">
        <v>100</v>
      </c>
    </row>
    <row r="8" spans="2:84" ht="13" x14ac:dyDescent="0.15">
      <c r="B8" s="8">
        <f>_xlfn.RANK.EQ(G8,$G$8:$G$846,0)</f>
        <v>2</v>
      </c>
      <c r="C8" s="22" t="s">
        <v>60</v>
      </c>
      <c r="D8" s="10" t="s">
        <v>49</v>
      </c>
      <c r="E8" s="5" t="str">
        <f t="shared" ref="E8" si="0">LEFT(BE8,FIND(",",BE8)-1)</f>
        <v>Svaneviksveien 78</v>
      </c>
      <c r="F8" s="28">
        <f t="shared" ref="F8" si="1">IFERROR(AC8/M8,"")</f>
        <v>9.2069548024834399E-2</v>
      </c>
      <c r="G8" s="32">
        <f t="shared" ref="G8" si="2">IFERROR(SUM(AC8,-AE8,-AF8,-AG8)/M8,"NA")</f>
        <v>8.4699281705932397E-2</v>
      </c>
      <c r="H8" s="5" t="str">
        <f t="shared" ref="H8" si="3">LEFT(BN8,1)</f>
        <v>E</v>
      </c>
      <c r="I8" s="26">
        <f t="shared" ref="I8" si="4">AK8</f>
        <v>234469.3508625</v>
      </c>
      <c r="J8" s="26">
        <f t="shared" ref="J8" si="5">AN8</f>
        <v>65465.82735322279</v>
      </c>
      <c r="K8" s="26">
        <f t="shared" ref="K8" si="6">BG8</f>
        <v>6066090</v>
      </c>
      <c r="L8" s="26"/>
      <c r="M8" s="27">
        <f t="shared" ref="M8" si="7">BG8+S8*1.025+T8</f>
        <v>8080847.75</v>
      </c>
      <c r="N8" s="27">
        <f t="shared" ref="N8" si="8">IFERROR(M8/BP8,"")</f>
        <v>51144.606012658231</v>
      </c>
      <c r="O8" s="26">
        <f t="shared" ref="O8" si="9">BP8</f>
        <v>158</v>
      </c>
      <c r="P8" s="26">
        <f t="shared" ref="P8" si="10">IFERROR(AP8/O8,"NA")</f>
        <v>392.40506329113924</v>
      </c>
      <c r="R8" s="16" t="s">
        <v>70</v>
      </c>
      <c r="S8" s="17">
        <f>7300000-BG8</f>
        <v>1233910</v>
      </c>
      <c r="T8" s="19">
        <v>750000</v>
      </c>
      <c r="U8" s="18">
        <v>0</v>
      </c>
      <c r="V8" s="18">
        <f>150*O8</f>
        <v>23700</v>
      </c>
      <c r="W8" s="24">
        <v>800</v>
      </c>
      <c r="X8" s="18">
        <v>0</v>
      </c>
      <c r="Y8" s="18">
        <f>2*8000+2*8000+4*7500</f>
        <v>62000</v>
      </c>
      <c r="Z8" s="12">
        <v>1</v>
      </c>
      <c r="AA8" s="30">
        <f t="shared" ref="AA8" si="11">$F$3</f>
        <v>4.7500000000000001E-2</v>
      </c>
      <c r="AC8" s="26">
        <f t="shared" ref="AC8" si="12">Y8*12*Z8</f>
        <v>744000</v>
      </c>
      <c r="AD8" s="26">
        <f t="shared" ref="AD8" si="13">AA8*M8</f>
        <v>383840.268125</v>
      </c>
      <c r="AE8" s="26">
        <f t="shared" ref="AE8" si="14">W8*12</f>
        <v>9600</v>
      </c>
      <c r="AF8" s="26">
        <f t="shared" ref="AF8" si="15">BK8+BL8+BJ8*12+U8*12</f>
        <v>26258</v>
      </c>
      <c r="AG8" s="26">
        <f t="shared" ref="AG8" si="16">V8</f>
        <v>23700</v>
      </c>
      <c r="AH8" s="26">
        <f t="shared" ref="AH8" si="17">X8*12</f>
        <v>0</v>
      </c>
      <c r="AI8" s="26">
        <f t="shared" ref="AI8" si="18">AC8-SUM(AD8:AH8)</f>
        <v>300601.731875</v>
      </c>
      <c r="AJ8" s="26">
        <f t="shared" ref="AJ8" si="19">AI8*$F$4</f>
        <v>66132.381012500002</v>
      </c>
      <c r="AK8" s="26">
        <f t="shared" ref="AK8" si="20">AI8-AJ8</f>
        <v>234469.3508625</v>
      </c>
      <c r="AL8" s="26">
        <f t="shared" ref="AL8" si="21">PMT(AA8/12, 25*12, -M8)*12</f>
        <v>552843.79163427721</v>
      </c>
      <c r="AM8" s="26">
        <f t="shared" ref="AM8" si="22">AL8-AD8</f>
        <v>169003.52350927721</v>
      </c>
      <c r="AN8" s="26">
        <f t="shared" ref="AN8" si="23">AK8-AM8</f>
        <v>65465.82735322279</v>
      </c>
      <c r="AO8" s="26"/>
      <c r="AP8" s="26">
        <f t="shared" ref="AP8:BA8" si="24">AC8/12</f>
        <v>62000</v>
      </c>
      <c r="AQ8" s="26">
        <f t="shared" si="24"/>
        <v>31986.689010416667</v>
      </c>
      <c r="AR8" s="26">
        <f t="shared" si="24"/>
        <v>800</v>
      </c>
      <c r="AS8" s="26">
        <f t="shared" si="24"/>
        <v>2188.1666666666665</v>
      </c>
      <c r="AT8" s="26">
        <f t="shared" si="24"/>
        <v>1975</v>
      </c>
      <c r="AU8" s="26">
        <f t="shared" si="24"/>
        <v>0</v>
      </c>
      <c r="AV8" s="26">
        <f t="shared" si="24"/>
        <v>25050.144322916665</v>
      </c>
      <c r="AW8" s="26">
        <f t="shared" si="24"/>
        <v>5511.0317510416671</v>
      </c>
      <c r="AX8" s="26">
        <f t="shared" si="24"/>
        <v>19539.112571875001</v>
      </c>
      <c r="AY8" s="26">
        <f t="shared" si="24"/>
        <v>46070.315969523101</v>
      </c>
      <c r="AZ8" s="26">
        <f t="shared" si="24"/>
        <v>14083.626959106434</v>
      </c>
      <c r="BA8" s="26">
        <f t="shared" si="24"/>
        <v>5455.4856127685662</v>
      </c>
      <c r="BB8" s="2"/>
      <c r="BC8" s="11" t="s">
        <v>49</v>
      </c>
      <c r="BD8" s="11" t="s">
        <v>56</v>
      </c>
      <c r="BE8" s="11" t="s">
        <v>57</v>
      </c>
      <c r="BF8" s="17">
        <v>5900000</v>
      </c>
      <c r="BG8" s="17">
        <v>6066090</v>
      </c>
      <c r="BH8" s="17">
        <v>166090</v>
      </c>
      <c r="BI8" s="17"/>
      <c r="BJ8" s="17"/>
      <c r="BK8" s="17">
        <v>26258</v>
      </c>
      <c r="BL8" s="16"/>
      <c r="BM8" s="11" t="s">
        <v>50</v>
      </c>
      <c r="BN8" s="13" t="s">
        <v>45</v>
      </c>
      <c r="BO8" s="17">
        <v>4</v>
      </c>
      <c r="BP8" s="17">
        <v>158</v>
      </c>
      <c r="BQ8" s="17">
        <v>158</v>
      </c>
      <c r="BR8" s="17"/>
      <c r="BS8" s="17">
        <v>2</v>
      </c>
      <c r="BT8" s="41">
        <v>1916</v>
      </c>
      <c r="BU8" s="11" t="s">
        <v>48</v>
      </c>
      <c r="BV8" s="17"/>
      <c r="BW8" s="17">
        <v>186</v>
      </c>
      <c r="BX8" s="11"/>
      <c r="BY8" s="11"/>
      <c r="BZ8" s="16" t="s">
        <v>58</v>
      </c>
      <c r="CA8" s="11" t="s">
        <v>59</v>
      </c>
      <c r="CB8" s="41"/>
      <c r="CC8" s="41"/>
      <c r="CD8" s="41"/>
      <c r="CE8" s="41"/>
    </row>
    <row r="9" spans="2:84" s="5" customFormat="1" ht="13" x14ac:dyDescent="0.15">
      <c r="B9" s="8">
        <f>_xlfn.RANK.EQ(G9,$G$8:$G$846,0)</f>
        <v>3</v>
      </c>
      <c r="C9" s="23" t="s">
        <v>60</v>
      </c>
      <c r="D9" s="4" t="str">
        <f t="shared" ref="D9" si="25">BC9</f>
        <v>https://www.finn.no/realestate/homes/ad.html?finnkode=432202020</v>
      </c>
      <c r="E9" s="5" t="str">
        <f t="shared" ref="E9" si="26">LEFT(BE9,FIND(",",BE9)-1)</f>
        <v>Fageråsveien 30</v>
      </c>
      <c r="F9" s="28">
        <f t="shared" ref="F9" si="27">IFERROR(AC9/M9,"")</f>
        <v>9.3929989471583597E-2</v>
      </c>
      <c r="G9" s="32">
        <f t="shared" ref="G9" si="28">IFERROR(SUM(AC9,-AE9,-AF9,-AG9)/M9,"NA")</f>
        <v>8.37616380289153E-2</v>
      </c>
      <c r="H9" s="5" t="str">
        <f t="shared" ref="H9" si="29">LEFT(BN9,1)</f>
        <v>E</v>
      </c>
      <c r="I9" s="26">
        <f t="shared" ref="I9" si="30">AK9</f>
        <v>164410.81799999997</v>
      </c>
      <c r="J9" s="26">
        <f t="shared" ref="J9" si="31">AN9</f>
        <v>42840.59764834604</v>
      </c>
      <c r="K9" s="26">
        <f t="shared" ref="K9" si="32">BG9</f>
        <v>5484840</v>
      </c>
      <c r="L9" s="26"/>
      <c r="M9" s="25">
        <f t="shared" ref="M9" si="33">BG9+S9*1.025+T9</f>
        <v>5812840</v>
      </c>
      <c r="N9" s="27">
        <f t="shared" ref="N9" si="34">IFERROR(M9/BP9,"")</f>
        <v>56435.339805825242</v>
      </c>
      <c r="O9" s="26">
        <f t="shared" ref="O9" si="35">BP9</f>
        <v>103</v>
      </c>
      <c r="P9" s="26">
        <f t="shared" ref="P9" si="36">IFERROR(AP9/O9,"NA")</f>
        <v>441.747572815534</v>
      </c>
      <c r="Q9" s="1"/>
      <c r="R9" s="16"/>
      <c r="S9" s="19">
        <f>5670000-BF9</f>
        <v>320000</v>
      </c>
      <c r="T9" s="19"/>
      <c r="U9" s="24"/>
      <c r="V9" s="24">
        <f t="shared" ref="V9" si="37">150*O9</f>
        <v>15450</v>
      </c>
      <c r="W9" s="24">
        <v>800</v>
      </c>
      <c r="X9" s="24">
        <v>0</v>
      </c>
      <c r="Y9" s="24">
        <f>4*8000+1500+12000</f>
        <v>45500</v>
      </c>
      <c r="Z9" s="3">
        <v>1</v>
      </c>
      <c r="AA9" s="29">
        <f t="shared" ref="AA9" si="38">$F$3</f>
        <v>4.7500000000000001E-2</v>
      </c>
      <c r="AB9" s="2"/>
      <c r="AC9" s="26">
        <f t="shared" ref="AC9" si="39">Y9*12*Z9</f>
        <v>546000</v>
      </c>
      <c r="AD9" s="26">
        <f t="shared" ref="AD9" si="40">AA9*M9</f>
        <v>276109.90000000002</v>
      </c>
      <c r="AE9" s="26">
        <f t="shared" ref="AE9" si="41">W9*12</f>
        <v>9600</v>
      </c>
      <c r="AF9" s="26">
        <f t="shared" ref="AF9" si="42">BK9+BL9+BJ9*12+U9*12</f>
        <v>34057</v>
      </c>
      <c r="AG9" s="26">
        <f t="shared" ref="AG9" si="43">V9</f>
        <v>15450</v>
      </c>
      <c r="AH9" s="26">
        <f t="shared" ref="AH9" si="44">X9*12</f>
        <v>0</v>
      </c>
      <c r="AI9" s="26">
        <f t="shared" ref="AI9" si="45">AC9-SUM(AD9:AH9)</f>
        <v>210783.09999999998</v>
      </c>
      <c r="AJ9" s="26">
        <f t="shared" ref="AJ9" si="46">AI9*$F$4</f>
        <v>46372.281999999992</v>
      </c>
      <c r="AK9" s="26">
        <f t="shared" ref="AK9" si="47">AI9-AJ9</f>
        <v>164410.81799999997</v>
      </c>
      <c r="AL9" s="26">
        <f t="shared" ref="AL9" si="48">PMT(AA9/12, 25*12, -M9)*12</f>
        <v>397680.12035165395</v>
      </c>
      <c r="AM9" s="26">
        <f t="shared" ref="AM9" si="49">AL9-AD9</f>
        <v>121570.22035165393</v>
      </c>
      <c r="AN9" s="26">
        <f t="shared" ref="AN9" si="50">AK9-AM9</f>
        <v>42840.59764834604</v>
      </c>
      <c r="AO9" s="26"/>
      <c r="AP9" s="26">
        <f t="shared" ref="AP9:AR9" si="51">AC9/12</f>
        <v>45500</v>
      </c>
      <c r="AQ9" s="26">
        <f t="shared" si="51"/>
        <v>23009.158333333336</v>
      </c>
      <c r="AR9" s="26">
        <f t="shared" si="51"/>
        <v>800</v>
      </c>
      <c r="AS9" s="26">
        <f t="shared" ref="AS9:BA9" si="52">AF9/12</f>
        <v>2838.0833333333335</v>
      </c>
      <c r="AT9" s="26">
        <f t="shared" si="52"/>
        <v>1287.5</v>
      </c>
      <c r="AU9" s="26">
        <f t="shared" si="52"/>
        <v>0</v>
      </c>
      <c r="AV9" s="26">
        <f t="shared" si="52"/>
        <v>17565.258333333331</v>
      </c>
      <c r="AW9" s="26">
        <f t="shared" si="52"/>
        <v>3864.3568333333328</v>
      </c>
      <c r="AX9" s="26">
        <f t="shared" si="52"/>
        <v>13700.901499999998</v>
      </c>
      <c r="AY9" s="26">
        <f t="shared" si="52"/>
        <v>33140.010029304496</v>
      </c>
      <c r="AZ9" s="26">
        <f t="shared" si="52"/>
        <v>10130.851695971161</v>
      </c>
      <c r="BA9" s="26">
        <f t="shared" si="52"/>
        <v>3570.0498040288367</v>
      </c>
      <c r="BB9" s="1"/>
      <c r="BC9" s="4" t="s">
        <v>65</v>
      </c>
      <c r="BD9" s="7" t="s">
        <v>66</v>
      </c>
      <c r="BE9" s="7" t="s">
        <v>67</v>
      </c>
      <c r="BF9" s="19">
        <v>5350000</v>
      </c>
      <c r="BG9" s="19">
        <v>5484840</v>
      </c>
      <c r="BH9" s="19">
        <v>134840</v>
      </c>
      <c r="BI9" s="19"/>
      <c r="BJ9" s="19">
        <v>1200</v>
      </c>
      <c r="BK9" s="19">
        <v>19657</v>
      </c>
      <c r="BL9" s="19"/>
      <c r="BM9" s="19" t="s">
        <v>46</v>
      </c>
      <c r="BN9" s="19" t="s">
        <v>45</v>
      </c>
      <c r="BO9" s="19">
        <v>3</v>
      </c>
      <c r="BP9" s="19">
        <v>103</v>
      </c>
      <c r="BQ9" s="19">
        <v>139</v>
      </c>
      <c r="BR9" s="19">
        <v>36</v>
      </c>
      <c r="BS9" s="19">
        <v>1</v>
      </c>
      <c r="BT9" s="41">
        <v>1949</v>
      </c>
      <c r="BU9" s="19"/>
      <c r="BV9" s="19">
        <v>4</v>
      </c>
      <c r="BW9" s="19">
        <v>385</v>
      </c>
      <c r="BX9" s="19"/>
      <c r="BY9" s="20" t="s">
        <v>68</v>
      </c>
      <c r="BZ9" s="9" t="s">
        <v>64</v>
      </c>
      <c r="CA9" s="7" t="s">
        <v>69</v>
      </c>
      <c r="CB9" s="41"/>
      <c r="CC9" s="41"/>
      <c r="CD9" s="41"/>
      <c r="CE9" s="41"/>
    </row>
    <row r="10" spans="2:84" s="5" customFormat="1" ht="13" x14ac:dyDescent="0.15">
      <c r="B10" s="8">
        <f>_xlfn.RANK.EQ(G10,$G$8:$G$846,0)</f>
        <v>1</v>
      </c>
      <c r="C10" s="23" t="s">
        <v>60</v>
      </c>
      <c r="D10" s="4" t="str">
        <f t="shared" ref="D10:D11" si="53">BC10</f>
        <v>https://www.finn.no/realestate/homes/ad.html?finnkode=445935846</v>
      </c>
      <c r="E10" s="5" t="str">
        <f t="shared" ref="E10:E11" si="54">LEFT(BE10,FIND(",",BE10)-1)</f>
        <v>Sydneshaugen 6</v>
      </c>
      <c r="F10" s="28">
        <f t="shared" ref="F10:F11" si="55">IFERROR(AC10/M10,"")</f>
        <v>9.1378025194580714E-2</v>
      </c>
      <c r="G10" s="32">
        <f t="shared" ref="G10:G11" si="56">IFERROR(SUM(AC10,-AE10,-AF10,-AG10)/M10,"NA")</f>
        <v>8.5791212356091995E-2</v>
      </c>
      <c r="H10" s="5" t="str">
        <f t="shared" ref="H10:H11" si="57">LEFT(BN10,1)</f>
        <v>E</v>
      </c>
      <c r="I10" s="26">
        <f t="shared" ref="I10:I11" si="58">AK10</f>
        <v>241217.223</v>
      </c>
      <c r="J10" s="26">
        <f t="shared" ref="J10:J11" si="59">AN10</f>
        <v>119283.22303677583</v>
      </c>
      <c r="K10" s="26">
        <f t="shared" ref="K10:K11" si="60">BG10</f>
        <v>7678340</v>
      </c>
      <c r="L10" s="26">
        <f t="shared" ref="L10:L11" si="61">S10+BF10</f>
        <v>7750000</v>
      </c>
      <c r="M10" s="27">
        <f t="shared" ref="M10:M11" si="62">BG10+S10*1.025+T10</f>
        <v>8076340</v>
      </c>
      <c r="N10" s="27">
        <f t="shared" ref="N10:N11" si="63">IFERROR(M10/BP10,"")</f>
        <v>72759.819819819822</v>
      </c>
      <c r="O10" s="26">
        <f t="shared" ref="O10:O11" si="64">BP10</f>
        <v>111</v>
      </c>
      <c r="P10" s="26">
        <f t="shared" ref="P10:P11" si="65">IFERROR(AP10/O10,"NA")</f>
        <v>554.05405405405406</v>
      </c>
      <c r="Q10" s="1"/>
      <c r="R10" s="16" t="s">
        <v>88</v>
      </c>
      <c r="S10" s="19">
        <v>260000</v>
      </c>
      <c r="T10" s="19">
        <f>18500+113000</f>
        <v>131500</v>
      </c>
      <c r="U10" s="24"/>
      <c r="V10" s="24">
        <v>12955</v>
      </c>
      <c r="W10" s="24">
        <v>800</v>
      </c>
      <c r="X10" s="24">
        <v>0</v>
      </c>
      <c r="Y10" s="24">
        <f>3*7900+4*9450</f>
        <v>61500</v>
      </c>
      <c r="Z10" s="3">
        <v>1</v>
      </c>
      <c r="AA10" s="30">
        <f t="shared" ref="AA10:AA11" si="66">$F$3</f>
        <v>4.7500000000000001E-2</v>
      </c>
      <c r="AB10" s="2"/>
      <c r="AC10" s="26">
        <f t="shared" ref="AC10:AC11" si="67">Y10*12*Z10</f>
        <v>738000</v>
      </c>
      <c r="AD10" s="26">
        <f t="shared" ref="AD10:AD11" si="68">AA10*M10</f>
        <v>383626.15</v>
      </c>
      <c r="AE10" s="26">
        <f t="shared" ref="AE10:AE11" si="69">W10*12</f>
        <v>9600</v>
      </c>
      <c r="AF10" s="26">
        <f t="shared" ref="AF10:AF11" si="70">BK10+BL10+BJ10*12+U10*12</f>
        <v>22566</v>
      </c>
      <c r="AG10" s="26">
        <f t="shared" ref="AG10:AG11" si="71">V10</f>
        <v>12955</v>
      </c>
      <c r="AH10" s="26">
        <f t="shared" ref="AH10:AH11" si="72">X10*12</f>
        <v>0</v>
      </c>
      <c r="AI10" s="26">
        <f t="shared" ref="AI10:AI11" si="73">AC10-SUM(AD10:AH10)</f>
        <v>309252.84999999998</v>
      </c>
      <c r="AJ10" s="26">
        <f t="shared" ref="AJ10:AJ11" si="74">AI10*$F$4</f>
        <v>68035.626999999993</v>
      </c>
      <c r="AK10" s="26">
        <f t="shared" ref="AK10:AK11" si="75">AI10-AJ10</f>
        <v>241217.223</v>
      </c>
      <c r="AL10" s="26">
        <f t="shared" ref="AL10:AL11" si="76">PMT(AA10/12, 30*12, -M10)*12</f>
        <v>505560.14996322419</v>
      </c>
      <c r="AM10" s="26">
        <f t="shared" ref="AM10:AM11" si="77">AL10-AD10</f>
        <v>121933.99996322417</v>
      </c>
      <c r="AN10" s="26">
        <f t="shared" ref="AN10:AN11" si="78">AK10-AM10</f>
        <v>119283.22303677583</v>
      </c>
      <c r="AO10" s="26"/>
      <c r="AP10" s="26">
        <f t="shared" ref="AP10:BA11" si="79">AC10/12</f>
        <v>61500</v>
      </c>
      <c r="AQ10" s="26">
        <f t="shared" si="79"/>
        <v>31968.845833333336</v>
      </c>
      <c r="AR10" s="26">
        <f t="shared" si="79"/>
        <v>800</v>
      </c>
      <c r="AS10" s="26">
        <f t="shared" si="79"/>
        <v>1880.5</v>
      </c>
      <c r="AT10" s="26">
        <f t="shared" si="79"/>
        <v>1079.5833333333333</v>
      </c>
      <c r="AU10" s="26">
        <f t="shared" si="79"/>
        <v>0</v>
      </c>
      <c r="AV10" s="26">
        <f t="shared" si="79"/>
        <v>25771.070833333331</v>
      </c>
      <c r="AW10" s="26">
        <f t="shared" si="79"/>
        <v>5669.6355833333328</v>
      </c>
      <c r="AX10" s="26">
        <f t="shared" si="79"/>
        <v>20101.435249999999</v>
      </c>
      <c r="AY10" s="26">
        <f t="shared" si="79"/>
        <v>42130.012496935349</v>
      </c>
      <c r="AZ10" s="26">
        <f t="shared" si="79"/>
        <v>10161.166663602015</v>
      </c>
      <c r="BA10" s="26">
        <f t="shared" si="79"/>
        <v>9940.2685863979859</v>
      </c>
      <c r="BB10" s="1"/>
      <c r="BC10" s="4" t="s">
        <v>82</v>
      </c>
      <c r="BD10" s="7" t="s">
        <v>83</v>
      </c>
      <c r="BE10" s="7" t="s">
        <v>84</v>
      </c>
      <c r="BF10" s="19">
        <v>7490000</v>
      </c>
      <c r="BG10" s="19">
        <v>7678340</v>
      </c>
      <c r="BH10" s="19">
        <v>188340</v>
      </c>
      <c r="BI10" s="19"/>
      <c r="BJ10" s="19"/>
      <c r="BK10" s="19">
        <v>22566</v>
      </c>
      <c r="BL10" s="16"/>
      <c r="BM10" s="7" t="s">
        <v>53</v>
      </c>
      <c r="BN10" s="7" t="s">
        <v>45</v>
      </c>
      <c r="BO10" s="19">
        <v>6</v>
      </c>
      <c r="BP10" s="19">
        <v>111</v>
      </c>
      <c r="BQ10" s="19">
        <v>111</v>
      </c>
      <c r="BR10" s="19"/>
      <c r="BS10" s="19">
        <v>3</v>
      </c>
      <c r="BT10" s="19">
        <v>1880</v>
      </c>
      <c r="BU10" s="7" t="s">
        <v>47</v>
      </c>
      <c r="BV10" s="19">
        <v>8</v>
      </c>
      <c r="BW10" s="19">
        <v>69</v>
      </c>
      <c r="BX10" s="7"/>
      <c r="BY10" s="20" t="s">
        <v>85</v>
      </c>
      <c r="BZ10" s="9" t="s">
        <v>86</v>
      </c>
      <c r="CA10" s="7" t="s">
        <v>87</v>
      </c>
      <c r="CB10" s="41"/>
      <c r="CC10" s="41"/>
      <c r="CD10" s="41"/>
      <c r="CE10" s="41"/>
    </row>
    <row r="11" spans="2:84" s="5" customFormat="1" ht="13" x14ac:dyDescent="0.15">
      <c r="B11" s="8">
        <f>_xlfn.RANK.EQ(G11,$G$8:$G$846,0)</f>
        <v>4</v>
      </c>
      <c r="C11" s="23" t="s">
        <v>60</v>
      </c>
      <c r="D11" s="4" t="str">
        <f t="shared" si="53"/>
        <v>https://www.finn.no/realestate/homes/ad.html?finnkode=445935846</v>
      </c>
      <c r="E11" s="5" t="str">
        <f t="shared" si="54"/>
        <v>Sydneshaugen 6</v>
      </c>
      <c r="F11" s="28">
        <f t="shared" si="55"/>
        <v>8.5731903312639135E-2</v>
      </c>
      <c r="G11" s="32">
        <f t="shared" si="56"/>
        <v>8.0145090474150416E-2</v>
      </c>
      <c r="H11" s="5" t="str">
        <f t="shared" si="57"/>
        <v>E</v>
      </c>
      <c r="I11" s="26">
        <f t="shared" si="58"/>
        <v>205649.223</v>
      </c>
      <c r="J11" s="26">
        <f t="shared" si="59"/>
        <v>83715.223036775831</v>
      </c>
      <c r="K11" s="26">
        <f t="shared" si="60"/>
        <v>7678340</v>
      </c>
      <c r="L11" s="26">
        <f t="shared" si="61"/>
        <v>7750000</v>
      </c>
      <c r="M11" s="27">
        <f t="shared" si="62"/>
        <v>8076340</v>
      </c>
      <c r="N11" s="27">
        <f t="shared" si="63"/>
        <v>72759.819819819822</v>
      </c>
      <c r="O11" s="26">
        <f t="shared" si="64"/>
        <v>111</v>
      </c>
      <c r="P11" s="26">
        <f t="shared" si="65"/>
        <v>519.81981981981983</v>
      </c>
      <c r="Q11" s="1"/>
      <c r="R11" s="16" t="s">
        <v>101</v>
      </c>
      <c r="S11" s="19">
        <v>260000</v>
      </c>
      <c r="T11" s="19">
        <f>18500+113000</f>
        <v>131500</v>
      </c>
      <c r="U11" s="24"/>
      <c r="V11" s="24">
        <v>12955</v>
      </c>
      <c r="W11" s="24">
        <v>800</v>
      </c>
      <c r="X11" s="24">
        <v>0</v>
      </c>
      <c r="Y11" s="24">
        <f>3*7900+4*8500</f>
        <v>57700</v>
      </c>
      <c r="Z11" s="3">
        <v>1</v>
      </c>
      <c r="AA11" s="30">
        <f t="shared" si="66"/>
        <v>4.7500000000000001E-2</v>
      </c>
      <c r="AB11" s="2"/>
      <c r="AC11" s="26">
        <f t="shared" si="67"/>
        <v>692400</v>
      </c>
      <c r="AD11" s="26">
        <f t="shared" si="68"/>
        <v>383626.15</v>
      </c>
      <c r="AE11" s="26">
        <f t="shared" si="69"/>
        <v>9600</v>
      </c>
      <c r="AF11" s="26">
        <f t="shared" si="70"/>
        <v>22566</v>
      </c>
      <c r="AG11" s="26">
        <f t="shared" si="71"/>
        <v>12955</v>
      </c>
      <c r="AH11" s="26">
        <f t="shared" si="72"/>
        <v>0</v>
      </c>
      <c r="AI11" s="26">
        <f t="shared" si="73"/>
        <v>263652.84999999998</v>
      </c>
      <c r="AJ11" s="26">
        <f t="shared" si="74"/>
        <v>58003.626999999993</v>
      </c>
      <c r="AK11" s="26">
        <f t="shared" si="75"/>
        <v>205649.223</v>
      </c>
      <c r="AL11" s="26">
        <f t="shared" si="76"/>
        <v>505560.14996322419</v>
      </c>
      <c r="AM11" s="26">
        <f t="shared" si="77"/>
        <v>121933.99996322417</v>
      </c>
      <c r="AN11" s="26">
        <f t="shared" si="78"/>
        <v>83715.223036775831</v>
      </c>
      <c r="AO11" s="26"/>
      <c r="AP11" s="26">
        <f t="shared" si="79"/>
        <v>57700</v>
      </c>
      <c r="AQ11" s="26">
        <f t="shared" si="79"/>
        <v>31968.845833333336</v>
      </c>
      <c r="AR11" s="26">
        <f t="shared" si="79"/>
        <v>800</v>
      </c>
      <c r="AS11" s="26">
        <f t="shared" si="79"/>
        <v>1880.5</v>
      </c>
      <c r="AT11" s="26">
        <f t="shared" si="79"/>
        <v>1079.5833333333333</v>
      </c>
      <c r="AU11" s="26">
        <f t="shared" si="79"/>
        <v>0</v>
      </c>
      <c r="AV11" s="26">
        <f t="shared" si="79"/>
        <v>21971.070833333331</v>
      </c>
      <c r="AW11" s="26">
        <f t="shared" si="79"/>
        <v>4833.6355833333328</v>
      </c>
      <c r="AX11" s="26">
        <f t="shared" si="79"/>
        <v>17137.435249999999</v>
      </c>
      <c r="AY11" s="26">
        <f t="shared" si="79"/>
        <v>42130.012496935349</v>
      </c>
      <c r="AZ11" s="26">
        <f t="shared" si="79"/>
        <v>10161.166663602015</v>
      </c>
      <c r="BA11" s="26">
        <f t="shared" si="79"/>
        <v>6976.2685863979859</v>
      </c>
      <c r="BB11" s="1"/>
      <c r="BC11" s="4" t="s">
        <v>82</v>
      </c>
      <c r="BD11" s="7" t="s">
        <v>83</v>
      </c>
      <c r="BE11" s="7" t="s">
        <v>84</v>
      </c>
      <c r="BF11" s="19">
        <v>7490000</v>
      </c>
      <c r="BG11" s="19">
        <v>7678340</v>
      </c>
      <c r="BH11" s="19">
        <v>188340</v>
      </c>
      <c r="BI11" s="19"/>
      <c r="BJ11" s="19"/>
      <c r="BK11" s="19">
        <v>22566</v>
      </c>
      <c r="BL11" s="16"/>
      <c r="BM11" s="7" t="s">
        <v>53</v>
      </c>
      <c r="BN11" s="7" t="s">
        <v>45</v>
      </c>
      <c r="BO11" s="19">
        <v>6</v>
      </c>
      <c r="BP11" s="19">
        <v>111</v>
      </c>
      <c r="BQ11" s="19">
        <v>111</v>
      </c>
      <c r="BR11" s="19"/>
      <c r="BS11" s="19">
        <v>3</v>
      </c>
      <c r="BT11" s="19">
        <v>1880</v>
      </c>
      <c r="BU11" s="7" t="s">
        <v>47</v>
      </c>
      <c r="BV11" s="19">
        <v>8</v>
      </c>
      <c r="BW11" s="19">
        <v>69</v>
      </c>
      <c r="BX11" s="7"/>
      <c r="BY11" s="20" t="s">
        <v>85</v>
      </c>
      <c r="BZ11" s="9" t="s">
        <v>86</v>
      </c>
      <c r="CA11" s="7" t="s">
        <v>87</v>
      </c>
      <c r="CB11" s="41"/>
      <c r="CC11" s="41"/>
      <c r="CD11" s="41"/>
      <c r="CE11" s="41"/>
    </row>
    <row r="12" spans="2:84" s="5" customFormat="1" ht="13" x14ac:dyDescent="0.15">
      <c r="B12" s="8"/>
      <c r="C12" s="22"/>
      <c r="D12" s="4"/>
      <c r="E12"/>
      <c r="F12" s="28"/>
      <c r="G12" s="29"/>
      <c r="H12"/>
      <c r="I12" s="26"/>
      <c r="J12" s="26"/>
      <c r="K12" s="26"/>
      <c r="L12" s="26"/>
      <c r="M12" s="25"/>
      <c r="N12" s="25"/>
      <c r="O12" s="26"/>
      <c r="P12" s="26"/>
      <c r="Q12" s="1"/>
      <c r="R12" s="16"/>
      <c r="S12" s="19"/>
      <c r="T12" s="19"/>
      <c r="U12" s="24"/>
      <c r="V12" s="24"/>
      <c r="W12" s="24"/>
      <c r="X12" s="24"/>
      <c r="Y12" s="24"/>
      <c r="Z12" s="3"/>
      <c r="AA12" s="31"/>
      <c r="AB12" s="2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1"/>
      <c r="BC12" s="4"/>
      <c r="BD12" s="7"/>
      <c r="BE12" s="7"/>
      <c r="BF12" s="19"/>
      <c r="BG12" s="19"/>
      <c r="BH12" s="19"/>
      <c r="BI12" s="19"/>
      <c r="BJ12" s="19"/>
      <c r="BK12" s="19"/>
      <c r="BL12" s="16"/>
      <c r="BM12" s="7"/>
      <c r="BN12" s="7"/>
      <c r="BO12" s="19"/>
      <c r="BP12" s="19"/>
      <c r="BQ12" s="19"/>
      <c r="BR12" s="19"/>
      <c r="BS12" s="19"/>
      <c r="BT12" s="19"/>
      <c r="BU12" s="7"/>
      <c r="BV12" s="19"/>
      <c r="BW12" s="19"/>
      <c r="BX12" s="7"/>
      <c r="BY12" s="20"/>
      <c r="BZ12" s="9"/>
      <c r="CA12" s="7"/>
      <c r="CB12" s="41"/>
    </row>
    <row r="13" spans="2:84" s="5" customFormat="1" ht="13" x14ac:dyDescent="0.15">
      <c r="B13" s="8"/>
      <c r="C13" s="22"/>
      <c r="D13" s="4"/>
      <c r="E13"/>
      <c r="F13" s="28"/>
      <c r="G13" s="29"/>
      <c r="H13"/>
      <c r="I13" s="26"/>
      <c r="J13" s="26"/>
      <c r="K13" s="26"/>
      <c r="L13" s="26"/>
      <c r="M13" s="25"/>
      <c r="N13" s="25"/>
      <c r="O13" s="26"/>
      <c r="P13" s="26"/>
      <c r="Q13" s="1"/>
      <c r="R13" s="16"/>
      <c r="S13" s="19"/>
      <c r="T13" s="19"/>
      <c r="U13" s="24"/>
      <c r="V13" s="24"/>
      <c r="W13" s="24"/>
      <c r="X13" s="24"/>
      <c r="Y13" s="24"/>
      <c r="Z13" s="3"/>
      <c r="AA13" s="31"/>
      <c r="AB13" s="2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1"/>
      <c r="BC13" s="4"/>
      <c r="BD13" s="7"/>
      <c r="BE13" s="7"/>
      <c r="BF13" s="19"/>
      <c r="BG13" s="19"/>
      <c r="BH13" s="19"/>
      <c r="BI13" s="19"/>
      <c r="BJ13" s="19"/>
      <c r="BK13" s="19"/>
      <c r="BL13" s="16"/>
      <c r="BM13" s="7"/>
      <c r="BN13" s="7"/>
      <c r="BO13" s="19"/>
      <c r="BP13" s="19"/>
      <c r="BQ13" s="19"/>
      <c r="BR13" s="19"/>
      <c r="BS13" s="19"/>
      <c r="BT13" s="19"/>
      <c r="BU13" s="7"/>
      <c r="BV13" s="19"/>
      <c r="BW13" s="19"/>
      <c r="BX13" s="7"/>
      <c r="BY13" s="20"/>
      <c r="BZ13" s="9"/>
      <c r="CA13" s="7"/>
      <c r="CB13" s="41"/>
    </row>
    <row r="14" spans="2:84" s="5" customFormat="1" ht="13" x14ac:dyDescent="0.15">
      <c r="B14" s="8"/>
      <c r="C14" s="22"/>
      <c r="D14" s="4"/>
      <c r="E14"/>
      <c r="F14" s="28"/>
      <c r="G14" s="29"/>
      <c r="H14"/>
      <c r="I14" s="26"/>
      <c r="J14" s="26"/>
      <c r="K14" s="26"/>
      <c r="L14" s="26"/>
      <c r="M14" s="25"/>
      <c r="N14" s="25"/>
      <c r="O14" s="26"/>
      <c r="P14" s="26"/>
      <c r="Q14" s="1"/>
      <c r="R14" s="16"/>
      <c r="S14" s="19"/>
      <c r="T14" s="19"/>
      <c r="U14" s="24"/>
      <c r="V14" s="24"/>
      <c r="W14" s="24"/>
      <c r="X14" s="24"/>
      <c r="Y14" s="55"/>
      <c r="Z14" s="3"/>
      <c r="AA14" s="31"/>
      <c r="AB14" s="2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1"/>
      <c r="BC14" s="4"/>
      <c r="BD14" s="7"/>
      <c r="BE14" s="7"/>
      <c r="BF14" s="19"/>
      <c r="BG14" s="19"/>
      <c r="BH14" s="19"/>
      <c r="BI14" s="19"/>
      <c r="BJ14" s="19"/>
      <c r="BK14" s="19"/>
      <c r="BL14" s="16"/>
      <c r="BM14" s="7"/>
      <c r="BN14" s="7"/>
      <c r="BO14" s="19"/>
      <c r="BP14" s="19"/>
      <c r="BQ14" s="19"/>
      <c r="BR14" s="19"/>
      <c r="BS14" s="19"/>
      <c r="BT14" s="19"/>
      <c r="BU14" s="7"/>
      <c r="BV14" s="19"/>
      <c r="BW14" s="19"/>
      <c r="BX14" s="7"/>
      <c r="BY14" s="20"/>
      <c r="BZ14" s="9"/>
      <c r="CA14" s="7"/>
      <c r="CB14" s="41"/>
    </row>
    <row r="15" spans="2:84" s="5" customFormat="1" ht="13" x14ac:dyDescent="0.15">
      <c r="B15" s="8"/>
      <c r="C15" s="22"/>
      <c r="D15" s="4"/>
      <c r="E15"/>
      <c r="F15" s="28"/>
      <c r="G15" s="29"/>
      <c r="H15"/>
      <c r="I15" s="26"/>
      <c r="J15" s="26"/>
      <c r="K15" s="26"/>
      <c r="L15" s="26"/>
      <c r="M15" s="25"/>
      <c r="N15" s="25"/>
      <c r="O15" s="26"/>
      <c r="P15" s="26"/>
      <c r="Q15" s="1"/>
      <c r="R15" s="16"/>
      <c r="S15" s="19"/>
      <c r="T15" s="19"/>
      <c r="U15" s="24"/>
      <c r="V15" s="24"/>
      <c r="W15" s="24"/>
      <c r="X15" s="24"/>
      <c r="Y15" s="24"/>
      <c r="Z15" s="3"/>
      <c r="AA15" s="31"/>
      <c r="AB15" s="2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1"/>
      <c r="BC15" s="4"/>
      <c r="BD15" s="7"/>
      <c r="BE15" s="7"/>
      <c r="BF15" s="19"/>
      <c r="BG15" s="19"/>
      <c r="BH15" s="19"/>
      <c r="BI15" s="19"/>
      <c r="BJ15" s="19"/>
      <c r="BK15" s="19"/>
      <c r="BL15" s="16"/>
      <c r="BM15" s="7"/>
      <c r="BN15" s="7"/>
      <c r="BO15" s="19"/>
      <c r="BP15" s="19"/>
      <c r="BQ15" s="19"/>
      <c r="BR15" s="19"/>
      <c r="BS15" s="19"/>
      <c r="BT15" s="19"/>
      <c r="BU15" s="7"/>
      <c r="BV15" s="19"/>
      <c r="BW15" s="19"/>
      <c r="BX15" s="7"/>
      <c r="BY15" s="20"/>
      <c r="BZ15" s="9"/>
      <c r="CA15" s="7"/>
      <c r="CB15" s="41"/>
    </row>
    <row r="16" spans="2:84" s="5" customFormat="1" ht="13" x14ac:dyDescent="0.15">
      <c r="B16" s="8"/>
      <c r="C16" s="22"/>
      <c r="D16" s="4"/>
      <c r="E16"/>
      <c r="F16" s="28"/>
      <c r="G16" s="29"/>
      <c r="H16"/>
      <c r="I16" s="26"/>
      <c r="J16" s="26"/>
      <c r="K16" s="26"/>
      <c r="L16" s="26"/>
      <c r="M16" s="25"/>
      <c r="N16" s="25"/>
      <c r="O16" s="26"/>
      <c r="P16" s="26"/>
      <c r="Q16" s="1"/>
      <c r="R16" s="16"/>
      <c r="S16" s="19"/>
      <c r="T16" s="19"/>
      <c r="U16" s="24"/>
      <c r="V16" s="24"/>
      <c r="W16" s="24"/>
      <c r="X16" s="24"/>
      <c r="Y16" s="24"/>
      <c r="Z16" s="3"/>
      <c r="AA16" s="31"/>
      <c r="AB16" s="2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1"/>
      <c r="BC16" s="4"/>
      <c r="BD16" s="7"/>
      <c r="BE16" s="7"/>
      <c r="BF16" s="19"/>
      <c r="BG16" s="19"/>
      <c r="BH16" s="19"/>
      <c r="BI16" s="19"/>
      <c r="BJ16" s="19"/>
      <c r="BK16" s="19"/>
      <c r="BL16" s="16"/>
      <c r="BM16" s="7"/>
      <c r="BN16" s="7"/>
      <c r="BO16" s="19"/>
      <c r="BP16" s="19"/>
      <c r="BQ16" s="19"/>
      <c r="BR16" s="19"/>
      <c r="BS16" s="19"/>
      <c r="BT16" s="19"/>
      <c r="BU16" s="7"/>
      <c r="BV16" s="19"/>
      <c r="BW16" s="19"/>
      <c r="BX16" s="7"/>
      <c r="BY16" s="20"/>
      <c r="BZ16" s="9"/>
      <c r="CA16" s="7"/>
      <c r="CB16" s="41"/>
    </row>
    <row r="17" spans="2:80" s="5" customFormat="1" ht="13" x14ac:dyDescent="0.15">
      <c r="B17" s="8"/>
      <c r="C17" s="22"/>
      <c r="D17" s="4"/>
      <c r="E17"/>
      <c r="F17" s="28"/>
      <c r="G17" s="29"/>
      <c r="H17"/>
      <c r="I17" s="26"/>
      <c r="J17" s="26"/>
      <c r="K17" s="26"/>
      <c r="L17" s="26"/>
      <c r="M17" s="25"/>
      <c r="N17" s="25"/>
      <c r="O17" s="26"/>
      <c r="P17" s="26"/>
      <c r="Q17" s="1"/>
      <c r="R17" s="16"/>
      <c r="S17" s="19"/>
      <c r="T17" s="19"/>
      <c r="U17" s="24"/>
      <c r="V17" s="24"/>
      <c r="W17" s="24"/>
      <c r="X17" s="24"/>
      <c r="Y17" s="24"/>
      <c r="Z17" s="3"/>
      <c r="AA17" s="31"/>
      <c r="AB17" s="2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1"/>
      <c r="BC17" s="4"/>
      <c r="BD17" s="7"/>
      <c r="BE17" s="7"/>
      <c r="BF17" s="19"/>
      <c r="BG17" s="19"/>
      <c r="BH17" s="19"/>
      <c r="BI17" s="19"/>
      <c r="BJ17" s="19"/>
      <c r="BK17" s="19"/>
      <c r="BL17" s="16"/>
      <c r="BM17" s="7"/>
      <c r="BN17" s="7"/>
      <c r="BO17" s="19"/>
      <c r="BP17" s="19"/>
      <c r="BQ17" s="19"/>
      <c r="BR17" s="19"/>
      <c r="BS17" s="19"/>
      <c r="BT17" s="19"/>
      <c r="BU17" s="7"/>
      <c r="BV17" s="19"/>
      <c r="BW17" s="19"/>
      <c r="BX17" s="7"/>
      <c r="BY17" s="20"/>
      <c r="BZ17" s="9"/>
      <c r="CA17" s="7"/>
      <c r="CB17" s="41"/>
    </row>
    <row r="18" spans="2:80" s="5" customFormat="1" ht="13" x14ac:dyDescent="0.15">
      <c r="B18" s="8"/>
      <c r="C18" s="22"/>
      <c r="D18" s="4"/>
      <c r="E18"/>
      <c r="F18" s="28"/>
      <c r="G18" s="29"/>
      <c r="H18"/>
      <c r="I18" s="26"/>
      <c r="J18" s="26"/>
      <c r="K18" s="26"/>
      <c r="L18" s="26"/>
      <c r="M18" s="25"/>
      <c r="N18" s="25"/>
      <c r="O18" s="26"/>
      <c r="P18" s="26"/>
      <c r="Q18" s="1"/>
      <c r="R18" s="16"/>
      <c r="S18" s="19"/>
      <c r="T18" s="19"/>
      <c r="U18" s="24"/>
      <c r="V18" s="24"/>
      <c r="W18" s="24"/>
      <c r="X18" s="24"/>
      <c r="Y18" s="24"/>
      <c r="Z18" s="3"/>
      <c r="AA18" s="31"/>
      <c r="AB18" s="2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1"/>
      <c r="BC18" s="4"/>
      <c r="BD18" s="7"/>
      <c r="BE18" s="7"/>
      <c r="BF18" s="19"/>
      <c r="BG18" s="19"/>
      <c r="BH18" s="19"/>
      <c r="BI18" s="19"/>
      <c r="BJ18" s="19"/>
      <c r="BK18" s="19"/>
      <c r="BL18" s="16"/>
      <c r="BM18" s="7"/>
      <c r="BN18" s="7"/>
      <c r="BO18" s="19"/>
      <c r="BP18" s="19"/>
      <c r="BQ18" s="19"/>
      <c r="BR18" s="19"/>
      <c r="BS18" s="19"/>
      <c r="BT18" s="19"/>
      <c r="BU18" s="7"/>
      <c r="BV18" s="19"/>
      <c r="BW18" s="19"/>
      <c r="BX18" s="7"/>
      <c r="BY18" s="20"/>
      <c r="BZ18" s="9"/>
      <c r="CA18" s="7"/>
      <c r="CB18" s="41"/>
    </row>
    <row r="19" spans="2:80" s="5" customFormat="1" ht="13" x14ac:dyDescent="0.15">
      <c r="B19" s="8"/>
      <c r="C19" s="22"/>
      <c r="D19" s="4"/>
      <c r="E19"/>
      <c r="F19" s="28"/>
      <c r="G19" s="29"/>
      <c r="H19"/>
      <c r="I19" s="26"/>
      <c r="J19" s="26"/>
      <c r="K19" s="26"/>
      <c r="L19" s="26"/>
      <c r="M19" s="25"/>
      <c r="N19" s="25"/>
      <c r="O19" s="26"/>
      <c r="P19" s="26"/>
      <c r="Q19" s="1"/>
      <c r="R19" s="16"/>
      <c r="S19" s="19"/>
      <c r="T19" s="19"/>
      <c r="U19" s="24"/>
      <c r="V19" s="24"/>
      <c r="W19" s="24"/>
      <c r="X19" s="24"/>
      <c r="Y19" s="24"/>
      <c r="Z19" s="3"/>
      <c r="AA19" s="31"/>
      <c r="AB19" s="2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1"/>
      <c r="BC19" s="4"/>
      <c r="BD19" s="7"/>
      <c r="BE19" s="7"/>
      <c r="BF19" s="19"/>
      <c r="BG19" s="19"/>
      <c r="BH19" s="19"/>
      <c r="BI19" s="19"/>
      <c r="BJ19" s="19"/>
      <c r="BK19" s="19"/>
      <c r="BL19" s="16"/>
      <c r="BM19" s="7"/>
      <c r="BN19" s="7"/>
      <c r="BO19" s="19"/>
      <c r="BP19" s="19"/>
      <c r="BQ19" s="19"/>
      <c r="BR19" s="19"/>
      <c r="BS19" s="19"/>
      <c r="BT19" s="19"/>
      <c r="BU19" s="7"/>
      <c r="BV19" s="19"/>
      <c r="BW19" s="19"/>
      <c r="BX19" s="7"/>
      <c r="BY19" s="20"/>
      <c r="BZ19" s="9"/>
      <c r="CA19" s="7"/>
      <c r="CB19" s="41"/>
    </row>
    <row r="20" spans="2:80" s="5" customFormat="1" ht="13" x14ac:dyDescent="0.15">
      <c r="B20" s="8"/>
      <c r="C20" s="22"/>
      <c r="D20" s="4"/>
      <c r="E20"/>
      <c r="F20" s="28"/>
      <c r="G20" s="29"/>
      <c r="H20"/>
      <c r="I20" s="26"/>
      <c r="J20" s="26"/>
      <c r="K20" s="26"/>
      <c r="L20" s="26"/>
      <c r="M20" s="25"/>
      <c r="N20" s="25"/>
      <c r="O20" s="26"/>
      <c r="P20" s="26"/>
      <c r="Q20" s="1"/>
      <c r="R20" s="16"/>
      <c r="S20" s="19"/>
      <c r="T20" s="19"/>
      <c r="U20" s="24"/>
      <c r="V20" s="24"/>
      <c r="W20" s="24"/>
      <c r="X20" s="24"/>
      <c r="Y20" s="24"/>
      <c r="Z20" s="3"/>
      <c r="AA20" s="31"/>
      <c r="AB20" s="2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1"/>
      <c r="BC20" s="4"/>
      <c r="BD20" s="7"/>
      <c r="BE20" s="7"/>
      <c r="BF20" s="19"/>
      <c r="BG20" s="19"/>
      <c r="BH20" s="19"/>
      <c r="BI20" s="19"/>
      <c r="BJ20" s="19"/>
      <c r="BK20" s="19"/>
      <c r="BL20" s="16"/>
      <c r="BM20" s="7"/>
      <c r="BN20" s="7"/>
      <c r="BO20" s="19"/>
      <c r="BP20" s="19"/>
      <c r="BQ20" s="19"/>
      <c r="BR20" s="19"/>
      <c r="BS20" s="19"/>
      <c r="BT20" s="19"/>
      <c r="BU20" s="7"/>
      <c r="BV20" s="19"/>
      <c r="BW20" s="19"/>
      <c r="BX20" s="7"/>
      <c r="BY20" s="20"/>
      <c r="BZ20" s="9"/>
      <c r="CA20" s="7"/>
      <c r="CB20" s="41"/>
    </row>
    <row r="21" spans="2:80" s="5" customFormat="1" ht="13" x14ac:dyDescent="0.15">
      <c r="B21" s="8"/>
      <c r="C21" s="22"/>
      <c r="D21" s="4"/>
      <c r="E21"/>
      <c r="F21" s="28"/>
      <c r="G21" s="29"/>
      <c r="H21"/>
      <c r="I21" s="26"/>
      <c r="J21" s="26"/>
      <c r="K21" s="26"/>
      <c r="L21" s="26"/>
      <c r="M21" s="25"/>
      <c r="N21" s="25"/>
      <c r="O21" s="26"/>
      <c r="P21" s="26"/>
      <c r="Q21" s="1"/>
      <c r="R21" s="16"/>
      <c r="S21" s="19"/>
      <c r="T21" s="19"/>
      <c r="U21" s="24"/>
      <c r="V21" s="24"/>
      <c r="W21" s="24"/>
      <c r="X21" s="24"/>
      <c r="Y21" s="24"/>
      <c r="Z21" s="3"/>
      <c r="AA21" s="31"/>
      <c r="AB21" s="2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1"/>
      <c r="BC21" s="4"/>
      <c r="BD21" s="7"/>
      <c r="BE21" s="7"/>
      <c r="BF21" s="19"/>
      <c r="BG21" s="19"/>
      <c r="BH21" s="19"/>
      <c r="BI21" s="19"/>
      <c r="BJ21" s="19"/>
      <c r="BK21" s="19"/>
      <c r="BL21" s="16"/>
      <c r="BM21" s="7"/>
      <c r="BN21" s="7"/>
      <c r="BO21" s="19"/>
      <c r="BP21" s="19"/>
      <c r="BQ21" s="19"/>
      <c r="BR21" s="19"/>
      <c r="BS21" s="19"/>
      <c r="BT21" s="19"/>
      <c r="BU21" s="7"/>
      <c r="BV21" s="19"/>
      <c r="BW21" s="19"/>
      <c r="BX21" s="7"/>
      <c r="BY21" s="20"/>
      <c r="BZ21" s="9"/>
      <c r="CA21" s="7"/>
      <c r="CB21" s="41"/>
    </row>
    <row r="22" spans="2:80" ht="15.75" customHeight="1" x14ac:dyDescent="0.15">
      <c r="C22" s="22"/>
      <c r="S22" s="25"/>
      <c r="T22" s="25"/>
      <c r="U22" s="25"/>
      <c r="V22" s="25"/>
      <c r="W22" s="25"/>
      <c r="X22" s="25"/>
      <c r="Y22" s="25"/>
      <c r="BO22" s="25"/>
      <c r="BP22" s="25"/>
      <c r="BQ22" s="25"/>
      <c r="BR22" s="25"/>
      <c r="BS22" s="25"/>
      <c r="BT22" s="25"/>
      <c r="BV22" s="25"/>
      <c r="BW22" s="25"/>
      <c r="CB22" s="41"/>
    </row>
    <row r="23" spans="2:80" ht="15.75" customHeight="1" x14ac:dyDescent="0.15">
      <c r="C23" s="22"/>
      <c r="S23" s="25"/>
      <c r="T23" s="25"/>
      <c r="U23" s="25"/>
      <c r="V23" s="25"/>
      <c r="W23" s="25"/>
      <c r="X23" s="25"/>
      <c r="Y23" s="25"/>
      <c r="BO23" s="25"/>
      <c r="BP23" s="25"/>
      <c r="BQ23" s="25"/>
      <c r="BR23" s="25"/>
      <c r="BS23" s="25"/>
      <c r="BT23" s="25"/>
      <c r="BV23" s="25"/>
      <c r="BW23" s="25"/>
      <c r="CB23" s="41"/>
    </row>
    <row r="24" spans="2:80" ht="15.75" customHeight="1" x14ac:dyDescent="0.15">
      <c r="C24" s="22"/>
      <c r="S24" s="25"/>
      <c r="T24" s="25"/>
      <c r="U24" s="25"/>
      <c r="V24" s="25"/>
      <c r="W24" s="25"/>
      <c r="X24" s="25"/>
      <c r="Y24" s="25"/>
      <c r="BO24" s="25"/>
      <c r="BP24" s="25"/>
      <c r="BQ24" s="25"/>
      <c r="BR24" s="25"/>
      <c r="BS24" s="25"/>
      <c r="BT24" s="25"/>
      <c r="BV24" s="25"/>
      <c r="BW24" s="25"/>
      <c r="CB24" s="41"/>
    </row>
    <row r="25" spans="2:80" ht="15.75" customHeight="1" x14ac:dyDescent="0.15">
      <c r="C25" s="22"/>
      <c r="S25" s="25"/>
      <c r="T25" s="25"/>
      <c r="U25" s="25"/>
      <c r="V25" s="25"/>
      <c r="W25" s="25"/>
      <c r="X25" s="25"/>
      <c r="Y25" s="25"/>
      <c r="BO25" s="25"/>
      <c r="BP25" s="25"/>
      <c r="BQ25" s="25"/>
      <c r="BR25" s="25"/>
      <c r="BS25" s="25"/>
      <c r="BT25" s="25"/>
      <c r="BV25" s="25"/>
      <c r="BW25" s="25"/>
      <c r="CB25" s="41"/>
    </row>
    <row r="26" spans="2:80" ht="15.75" customHeight="1" x14ac:dyDescent="0.15">
      <c r="C26" s="22"/>
      <c r="S26" s="25"/>
      <c r="T26" s="25"/>
      <c r="U26" s="25"/>
      <c r="V26" s="25"/>
      <c r="W26" s="25"/>
      <c r="X26" s="25"/>
      <c r="Y26" s="25"/>
      <c r="BO26" s="25"/>
      <c r="BP26" s="25"/>
      <c r="BQ26" s="25"/>
      <c r="BR26" s="25"/>
      <c r="BS26" s="25"/>
      <c r="BT26" s="25"/>
      <c r="BV26" s="25"/>
      <c r="BW26" s="25"/>
      <c r="CB26" s="41"/>
    </row>
    <row r="27" spans="2:80" ht="15.75" customHeight="1" x14ac:dyDescent="0.15">
      <c r="C27" s="22"/>
      <c r="S27" s="25"/>
      <c r="T27" s="25"/>
      <c r="U27" s="25"/>
      <c r="V27" s="25"/>
      <c r="W27" s="25"/>
      <c r="X27" s="25"/>
      <c r="Y27" s="25"/>
      <c r="BO27" s="25"/>
      <c r="BP27" s="25"/>
      <c r="BQ27" s="25"/>
      <c r="BR27" s="25"/>
      <c r="BS27" s="25"/>
      <c r="BT27" s="25"/>
      <c r="BV27" s="25"/>
      <c r="BW27" s="25"/>
      <c r="CB27" s="41"/>
    </row>
    <row r="28" spans="2:80" ht="15.75" customHeight="1" x14ac:dyDescent="0.15">
      <c r="C28" s="22"/>
      <c r="S28" s="25"/>
      <c r="T28" s="25"/>
      <c r="U28" s="25"/>
      <c r="V28" s="25"/>
      <c r="W28" s="25"/>
      <c r="X28" s="25"/>
      <c r="Y28" s="25"/>
      <c r="BO28" s="25"/>
      <c r="BP28" s="25"/>
      <c r="BQ28" s="25"/>
      <c r="BR28" s="25"/>
      <c r="BS28" s="25"/>
      <c r="BT28" s="25"/>
      <c r="BV28" s="25"/>
      <c r="BW28" s="25"/>
      <c r="CB28" s="41"/>
    </row>
    <row r="29" spans="2:80" ht="15.75" customHeight="1" x14ac:dyDescent="0.15">
      <c r="C29" s="22"/>
      <c r="S29" s="25"/>
      <c r="T29" s="25"/>
      <c r="U29" s="25"/>
      <c r="V29" s="25"/>
      <c r="W29" s="25"/>
      <c r="X29" s="25"/>
      <c r="Y29" s="25"/>
      <c r="BO29" s="25"/>
      <c r="BP29" s="25"/>
      <c r="BQ29" s="25"/>
      <c r="BR29" s="25"/>
      <c r="BS29" s="25"/>
      <c r="BT29" s="25"/>
      <c r="BV29" s="25"/>
      <c r="BW29" s="25"/>
      <c r="CB29" s="41"/>
    </row>
    <row r="30" spans="2:80" ht="15.75" customHeight="1" x14ac:dyDescent="0.15">
      <c r="C30" s="22"/>
      <c r="S30" s="25"/>
      <c r="T30" s="25"/>
      <c r="U30" s="25"/>
      <c r="V30" s="25"/>
      <c r="W30" s="25"/>
      <c r="X30" s="25"/>
      <c r="Y30" s="25"/>
      <c r="BO30" s="25"/>
      <c r="BP30" s="25"/>
      <c r="BQ30" s="25"/>
      <c r="BR30" s="25"/>
      <c r="BS30" s="25"/>
      <c r="BT30" s="25"/>
      <c r="BV30" s="25"/>
      <c r="BW30" s="25"/>
      <c r="CB30" s="41"/>
    </row>
    <row r="31" spans="2:80" ht="15.75" customHeight="1" x14ac:dyDescent="0.15">
      <c r="C31" s="22"/>
      <c r="S31" s="25"/>
      <c r="T31" s="25"/>
      <c r="U31" s="25"/>
      <c r="V31" s="25"/>
      <c r="W31" s="25"/>
      <c r="X31" s="25"/>
      <c r="Y31" s="25"/>
      <c r="BO31" s="25"/>
      <c r="BP31" s="25"/>
      <c r="BQ31" s="25"/>
      <c r="BR31" s="25"/>
      <c r="BS31" s="25"/>
      <c r="BT31" s="25"/>
      <c r="BV31" s="25"/>
      <c r="BW31" s="25"/>
      <c r="CB31" s="41"/>
    </row>
    <row r="32" spans="2:80" ht="15.75" customHeight="1" x14ac:dyDescent="0.15">
      <c r="C32" s="22"/>
      <c r="S32" s="25"/>
      <c r="T32" s="25"/>
      <c r="U32" s="25"/>
      <c r="V32" s="25"/>
      <c r="W32" s="25"/>
      <c r="X32" s="25"/>
      <c r="Y32" s="25"/>
      <c r="BO32" s="25"/>
      <c r="BP32" s="25"/>
      <c r="BQ32" s="25"/>
      <c r="BR32" s="25"/>
      <c r="BS32" s="25"/>
      <c r="BT32" s="25"/>
      <c r="BV32" s="25"/>
      <c r="BW32" s="25"/>
      <c r="CB32" s="41"/>
    </row>
    <row r="33" spans="3:80" ht="15.75" customHeight="1" x14ac:dyDescent="0.15">
      <c r="C33" s="22"/>
      <c r="S33" s="25"/>
      <c r="T33" s="25"/>
      <c r="U33" s="25"/>
      <c r="V33" s="25"/>
      <c r="W33" s="25"/>
      <c r="X33" s="25"/>
      <c r="Y33" s="25"/>
      <c r="BO33" s="25"/>
      <c r="BP33" s="25"/>
      <c r="BQ33" s="25"/>
      <c r="BR33" s="25"/>
      <c r="BS33" s="25"/>
      <c r="BT33" s="25"/>
      <c r="BV33" s="25"/>
      <c r="BW33" s="25"/>
      <c r="CB33" s="41"/>
    </row>
    <row r="34" spans="3:80" ht="15.75" customHeight="1" x14ac:dyDescent="0.15">
      <c r="C34" s="22"/>
      <c r="S34" s="25"/>
      <c r="T34" s="25"/>
      <c r="U34" s="25"/>
      <c r="V34" s="25"/>
      <c r="W34" s="25"/>
      <c r="X34" s="25"/>
      <c r="Y34" s="25"/>
      <c r="BO34" s="25"/>
      <c r="BP34" s="25"/>
      <c r="BQ34" s="25"/>
      <c r="BR34" s="25"/>
      <c r="BS34" s="25"/>
      <c r="BT34" s="25"/>
      <c r="BV34" s="25"/>
      <c r="BW34" s="25"/>
      <c r="CB34" s="41"/>
    </row>
    <row r="35" spans="3:80" ht="15.75" customHeight="1" x14ac:dyDescent="0.15">
      <c r="S35" s="25"/>
      <c r="T35" s="25"/>
      <c r="U35" s="25"/>
      <c r="V35" s="25"/>
      <c r="W35" s="25"/>
      <c r="X35" s="25"/>
      <c r="Y35" s="25"/>
      <c r="BO35" s="25"/>
      <c r="BP35" s="25"/>
      <c r="BQ35" s="25"/>
      <c r="BR35" s="25"/>
      <c r="BS35" s="25"/>
      <c r="BT35" s="25"/>
      <c r="BV35" s="25"/>
      <c r="BW35" s="25"/>
      <c r="CB35" s="41"/>
    </row>
    <row r="36" spans="3:80" ht="15.75" customHeight="1" x14ac:dyDescent="0.15">
      <c r="S36" s="25"/>
      <c r="T36" s="25"/>
      <c r="U36" s="25"/>
      <c r="V36" s="25"/>
      <c r="W36" s="25"/>
      <c r="X36" s="25"/>
      <c r="Y36" s="25"/>
      <c r="BO36" s="25"/>
      <c r="BP36" s="25"/>
      <c r="BQ36" s="25"/>
      <c r="BR36" s="25"/>
      <c r="BS36" s="25"/>
      <c r="BT36" s="25"/>
      <c r="BV36" s="25"/>
      <c r="BW36" s="25"/>
      <c r="CB36" s="41"/>
    </row>
    <row r="37" spans="3:80" ht="15.75" customHeight="1" x14ac:dyDescent="0.15">
      <c r="S37" s="25"/>
      <c r="T37" s="25"/>
      <c r="U37" s="25"/>
      <c r="V37" s="25"/>
      <c r="W37" s="25"/>
      <c r="X37" s="25"/>
      <c r="Y37" s="25"/>
      <c r="BO37" s="25"/>
      <c r="BP37" s="25"/>
      <c r="BQ37" s="25"/>
      <c r="BR37" s="25"/>
      <c r="BS37" s="25"/>
      <c r="BT37" s="25"/>
      <c r="BV37" s="25"/>
      <c r="BW37" s="25"/>
      <c r="CB37" s="41"/>
    </row>
    <row r="38" spans="3:80" ht="15.75" customHeight="1" x14ac:dyDescent="0.15">
      <c r="S38" s="25"/>
      <c r="T38" s="25"/>
      <c r="U38" s="25"/>
      <c r="V38" s="25"/>
      <c r="W38" s="25"/>
      <c r="X38" s="25"/>
      <c r="Y38" s="25"/>
      <c r="BO38" s="25"/>
      <c r="BP38" s="25"/>
      <c r="BQ38" s="25"/>
      <c r="BR38" s="25"/>
      <c r="BS38" s="25"/>
      <c r="BT38" s="25"/>
      <c r="BV38" s="25"/>
      <c r="BW38" s="25"/>
      <c r="CB38" s="41"/>
    </row>
    <row r="39" spans="3:80" ht="15.75" customHeight="1" x14ac:dyDescent="0.15">
      <c r="S39" s="25"/>
      <c r="T39" s="25"/>
      <c r="U39" s="25"/>
      <c r="V39" s="25"/>
      <c r="W39" s="25"/>
      <c r="X39" s="25"/>
      <c r="Y39" s="25"/>
      <c r="BO39" s="25"/>
      <c r="BP39" s="25"/>
      <c r="BQ39" s="25"/>
      <c r="BR39" s="25"/>
      <c r="BS39" s="25"/>
      <c r="BT39" s="25"/>
      <c r="BV39" s="25"/>
      <c r="BW39" s="25"/>
      <c r="CB39" s="41"/>
    </row>
    <row r="40" spans="3:80" ht="15.75" customHeight="1" x14ac:dyDescent="0.15">
      <c r="S40" s="25"/>
      <c r="T40" s="25"/>
      <c r="U40" s="25"/>
      <c r="V40" s="25"/>
      <c r="W40" s="25"/>
      <c r="X40" s="25"/>
      <c r="Y40" s="25"/>
      <c r="BO40" s="25"/>
      <c r="BP40" s="25"/>
      <c r="BQ40" s="25"/>
      <c r="BR40" s="25"/>
      <c r="BS40" s="25"/>
      <c r="BT40" s="25"/>
      <c r="BV40" s="25"/>
      <c r="BW40" s="25"/>
      <c r="CB40" s="41"/>
    </row>
    <row r="41" spans="3:80" ht="15.75" customHeight="1" x14ac:dyDescent="0.15">
      <c r="S41" s="25"/>
      <c r="T41" s="25"/>
      <c r="U41" s="25"/>
      <c r="V41" s="25"/>
      <c r="W41" s="25"/>
      <c r="X41" s="25"/>
      <c r="Y41" s="25"/>
      <c r="BO41" s="25"/>
      <c r="BP41" s="25"/>
      <c r="BQ41" s="25"/>
      <c r="BR41" s="25"/>
      <c r="BS41" s="25"/>
      <c r="BT41" s="25"/>
      <c r="BV41" s="25"/>
      <c r="BW41" s="25"/>
      <c r="CB41" s="41"/>
    </row>
    <row r="42" spans="3:80" ht="15.75" customHeight="1" x14ac:dyDescent="0.15">
      <c r="S42" s="25"/>
      <c r="T42" s="25"/>
      <c r="U42" s="25"/>
      <c r="V42" s="25"/>
      <c r="W42" s="25"/>
      <c r="X42" s="25"/>
      <c r="Y42" s="25"/>
      <c r="BO42" s="25"/>
      <c r="BP42" s="25"/>
      <c r="BQ42" s="25"/>
      <c r="BR42" s="25"/>
      <c r="BS42" s="25"/>
      <c r="BT42" s="25"/>
      <c r="BV42" s="25"/>
      <c r="BW42" s="25"/>
      <c r="CB42" s="41"/>
    </row>
    <row r="43" spans="3:80" ht="15.75" customHeight="1" x14ac:dyDescent="0.15">
      <c r="S43" s="25"/>
      <c r="T43" s="25"/>
      <c r="U43" s="25"/>
      <c r="V43" s="25"/>
      <c r="W43" s="25"/>
      <c r="X43" s="25"/>
      <c r="Y43" s="25"/>
      <c r="BO43" s="25"/>
      <c r="BP43" s="25"/>
      <c r="BQ43" s="25"/>
      <c r="BR43" s="25"/>
      <c r="BS43" s="25"/>
      <c r="BT43" s="25"/>
      <c r="BV43" s="25"/>
      <c r="BW43" s="25"/>
      <c r="CB43" s="41"/>
    </row>
    <row r="44" spans="3:80" ht="15.75" customHeight="1" x14ac:dyDescent="0.15">
      <c r="S44" s="25"/>
      <c r="T44" s="25"/>
      <c r="U44" s="25"/>
      <c r="V44" s="25"/>
      <c r="W44" s="25"/>
      <c r="X44" s="25"/>
      <c r="Y44" s="25"/>
      <c r="BO44" s="25"/>
      <c r="BP44" s="25"/>
      <c r="BQ44" s="25"/>
      <c r="BR44" s="25"/>
      <c r="BS44" s="25"/>
      <c r="BT44" s="25"/>
      <c r="BV44" s="25"/>
      <c r="BW44" s="25"/>
      <c r="CB44" s="41"/>
    </row>
    <row r="45" spans="3:80" ht="15.75" customHeight="1" x14ac:dyDescent="0.15">
      <c r="S45" s="25"/>
      <c r="T45" s="25"/>
      <c r="U45" s="25"/>
      <c r="V45" s="25"/>
      <c r="W45" s="25"/>
      <c r="X45" s="25"/>
      <c r="Y45" s="25"/>
      <c r="BO45" s="25"/>
      <c r="BP45" s="25"/>
      <c r="BQ45" s="25"/>
      <c r="BR45" s="25"/>
      <c r="BS45" s="25"/>
      <c r="BT45" s="25"/>
      <c r="BV45" s="25"/>
      <c r="BW45" s="25"/>
      <c r="CB45" s="41"/>
    </row>
    <row r="46" spans="3:80" ht="15.75" customHeight="1" x14ac:dyDescent="0.15">
      <c r="S46" s="25"/>
      <c r="T46" s="25"/>
      <c r="U46" s="25"/>
      <c r="V46" s="25"/>
      <c r="W46" s="25"/>
      <c r="X46" s="25"/>
      <c r="Y46" s="25"/>
      <c r="BO46" s="25"/>
      <c r="BP46" s="25"/>
      <c r="BQ46" s="25"/>
      <c r="BR46" s="25"/>
      <c r="BS46" s="25"/>
      <c r="BT46" s="25"/>
      <c r="BV46" s="25"/>
      <c r="BW46" s="25"/>
      <c r="CB46" s="41"/>
    </row>
    <row r="47" spans="3:80" ht="15.75" customHeight="1" x14ac:dyDescent="0.15">
      <c r="S47" s="25"/>
      <c r="T47" s="25"/>
      <c r="U47" s="25"/>
      <c r="V47" s="25"/>
      <c r="W47" s="25"/>
      <c r="X47" s="25"/>
      <c r="Y47" s="25"/>
      <c r="BO47" s="25"/>
      <c r="BP47" s="25"/>
      <c r="BQ47" s="25"/>
      <c r="BR47" s="25"/>
      <c r="BS47" s="25"/>
      <c r="BT47" s="25"/>
      <c r="BV47" s="25"/>
      <c r="BW47" s="25"/>
      <c r="CB47" s="41"/>
    </row>
    <row r="48" spans="3:80" ht="15.75" customHeight="1" x14ac:dyDescent="0.15">
      <c r="S48" s="25"/>
      <c r="T48" s="25"/>
      <c r="U48" s="25"/>
      <c r="V48" s="25"/>
      <c r="W48" s="25"/>
      <c r="X48" s="25"/>
      <c r="Y48" s="25"/>
      <c r="BO48" s="25"/>
      <c r="BP48" s="25"/>
      <c r="BQ48" s="25"/>
      <c r="BR48" s="25"/>
      <c r="BS48" s="25"/>
      <c r="BT48" s="25"/>
      <c r="BV48" s="25"/>
      <c r="BW48" s="25"/>
      <c r="CB48" s="41"/>
    </row>
    <row r="49" spans="19:80" ht="15.75" customHeight="1" x14ac:dyDescent="0.15">
      <c r="S49" s="25"/>
      <c r="T49" s="25"/>
      <c r="U49" s="25"/>
      <c r="V49" s="25"/>
      <c r="W49" s="25"/>
      <c r="X49" s="25"/>
      <c r="Y49" s="25"/>
      <c r="BO49" s="25"/>
      <c r="BP49" s="25"/>
      <c r="BQ49" s="25"/>
      <c r="BR49" s="25"/>
      <c r="BS49" s="25"/>
      <c r="BT49" s="25"/>
      <c r="BV49" s="25"/>
      <c r="BW49" s="25"/>
      <c r="CB49" s="41"/>
    </row>
    <row r="50" spans="19:80" ht="15.75" customHeight="1" x14ac:dyDescent="0.15">
      <c r="S50" s="25"/>
      <c r="T50" s="25"/>
      <c r="U50" s="25"/>
      <c r="V50" s="25"/>
      <c r="W50" s="25"/>
      <c r="X50" s="25"/>
      <c r="Y50" s="25"/>
      <c r="BO50" s="25"/>
      <c r="BP50" s="25"/>
      <c r="BQ50" s="25"/>
      <c r="BR50" s="25"/>
      <c r="BS50" s="25"/>
      <c r="BT50" s="25"/>
      <c r="BV50" s="25"/>
      <c r="BW50" s="25"/>
      <c r="CB50" s="41"/>
    </row>
    <row r="51" spans="19:80" ht="15.75" customHeight="1" x14ac:dyDescent="0.15">
      <c r="S51" s="25"/>
      <c r="T51" s="25"/>
      <c r="U51" s="25"/>
      <c r="V51" s="25"/>
      <c r="W51" s="25"/>
      <c r="X51" s="25"/>
      <c r="Y51" s="25"/>
      <c r="BO51" s="25"/>
      <c r="BP51" s="25"/>
      <c r="BQ51" s="25"/>
      <c r="BR51" s="25"/>
      <c r="BS51" s="25"/>
      <c r="BT51" s="25"/>
      <c r="BV51" s="25"/>
      <c r="BW51" s="25"/>
      <c r="CB51" s="41"/>
    </row>
    <row r="52" spans="19:80" ht="15.75" customHeight="1" x14ac:dyDescent="0.15">
      <c r="S52" s="25"/>
      <c r="T52" s="25"/>
      <c r="U52" s="25"/>
      <c r="V52" s="25"/>
      <c r="W52" s="25"/>
      <c r="X52" s="25"/>
      <c r="Y52" s="25"/>
      <c r="BO52" s="25"/>
      <c r="BP52" s="25"/>
      <c r="BQ52" s="25"/>
      <c r="BR52" s="25"/>
      <c r="BS52" s="25"/>
      <c r="BT52" s="25"/>
      <c r="BV52" s="25"/>
      <c r="BW52" s="25"/>
      <c r="CB52" s="41"/>
    </row>
    <row r="53" spans="19:80" ht="15.75" customHeight="1" x14ac:dyDescent="0.15">
      <c r="S53" s="25"/>
      <c r="T53" s="25"/>
      <c r="U53" s="25"/>
      <c r="V53" s="25"/>
      <c r="W53" s="25"/>
      <c r="X53" s="25"/>
      <c r="Y53" s="25"/>
      <c r="BO53" s="25"/>
      <c r="BP53" s="25"/>
      <c r="BQ53" s="25"/>
      <c r="BR53" s="25"/>
      <c r="BS53" s="25"/>
      <c r="BT53" s="25"/>
      <c r="BV53" s="25"/>
      <c r="BW53" s="25"/>
      <c r="CB53" s="41"/>
    </row>
    <row r="54" spans="19:80" ht="15.75" customHeight="1" x14ac:dyDescent="0.15">
      <c r="S54" s="25"/>
      <c r="T54" s="25"/>
      <c r="U54" s="25"/>
      <c r="V54" s="25"/>
      <c r="W54" s="25"/>
      <c r="X54" s="25"/>
      <c r="Y54" s="25"/>
      <c r="BO54" s="25"/>
      <c r="BP54" s="25"/>
      <c r="BQ54" s="25"/>
      <c r="BR54" s="25"/>
      <c r="BS54" s="25"/>
      <c r="BT54" s="25"/>
      <c r="BV54" s="25"/>
      <c r="BW54" s="25"/>
      <c r="CB54" s="41"/>
    </row>
    <row r="55" spans="19:80" ht="15.75" customHeight="1" x14ac:dyDescent="0.15">
      <c r="S55" s="25"/>
      <c r="T55" s="25"/>
      <c r="U55" s="25"/>
      <c r="V55" s="25"/>
      <c r="W55" s="25"/>
      <c r="X55" s="25"/>
      <c r="Y55" s="25"/>
      <c r="BO55" s="25"/>
      <c r="BP55" s="25"/>
      <c r="BQ55" s="25"/>
      <c r="BR55" s="25"/>
      <c r="BS55" s="25"/>
      <c r="BT55" s="25"/>
      <c r="BV55" s="25"/>
      <c r="BW55" s="25"/>
      <c r="CB55" s="41"/>
    </row>
    <row r="56" spans="19:80" ht="15.75" customHeight="1" x14ac:dyDescent="0.15">
      <c r="S56" s="25"/>
      <c r="T56" s="25"/>
      <c r="U56" s="25"/>
      <c r="V56" s="25"/>
      <c r="W56" s="25"/>
      <c r="X56" s="25"/>
      <c r="Y56" s="25"/>
      <c r="BO56" s="25"/>
      <c r="BP56" s="25"/>
      <c r="BQ56" s="25"/>
      <c r="BR56" s="25"/>
      <c r="BS56" s="25"/>
      <c r="BT56" s="25"/>
      <c r="BV56" s="25"/>
      <c r="BW56" s="25"/>
      <c r="CB56" s="41"/>
    </row>
    <row r="57" spans="19:80" ht="15.75" customHeight="1" x14ac:dyDescent="0.15">
      <c r="S57" s="25"/>
      <c r="T57" s="25"/>
      <c r="U57" s="25"/>
      <c r="V57" s="25"/>
      <c r="W57" s="25"/>
      <c r="X57" s="25"/>
      <c r="Y57" s="25"/>
      <c r="BO57" s="25"/>
      <c r="BP57" s="25"/>
      <c r="BQ57" s="25"/>
      <c r="BR57" s="25"/>
      <c r="BS57" s="25"/>
      <c r="BT57" s="25"/>
      <c r="BV57" s="25"/>
      <c r="BW57" s="25"/>
      <c r="CB57" s="41"/>
    </row>
    <row r="58" spans="19:80" ht="15.75" customHeight="1" x14ac:dyDescent="0.15">
      <c r="S58" s="25"/>
      <c r="T58" s="25"/>
      <c r="U58" s="25"/>
      <c r="V58" s="25"/>
      <c r="W58" s="25"/>
      <c r="X58" s="25"/>
      <c r="Y58" s="25"/>
      <c r="BO58" s="25"/>
      <c r="BP58" s="25"/>
      <c r="BQ58" s="25"/>
      <c r="BR58" s="25"/>
      <c r="BS58" s="25"/>
      <c r="BT58" s="25"/>
      <c r="BV58" s="25"/>
      <c r="BW58" s="25"/>
      <c r="CB58" s="41"/>
    </row>
    <row r="59" spans="19:80" ht="15.75" customHeight="1" x14ac:dyDescent="0.15">
      <c r="S59" s="25"/>
      <c r="T59" s="25"/>
      <c r="U59" s="25"/>
      <c r="V59" s="25"/>
      <c r="W59" s="25"/>
      <c r="X59" s="25"/>
      <c r="Y59" s="25"/>
      <c r="BO59" s="25"/>
      <c r="BP59" s="25"/>
      <c r="BQ59" s="25"/>
      <c r="BR59" s="25"/>
      <c r="BS59" s="25"/>
      <c r="BT59" s="25"/>
      <c r="BV59" s="25"/>
      <c r="BW59" s="25"/>
      <c r="CB59" s="41"/>
    </row>
    <row r="60" spans="19:80" ht="15.75" customHeight="1" x14ac:dyDescent="0.15">
      <c r="S60" s="25"/>
      <c r="T60" s="25"/>
      <c r="U60" s="25"/>
      <c r="V60" s="25"/>
      <c r="W60" s="25"/>
      <c r="X60" s="25"/>
      <c r="Y60" s="25"/>
      <c r="BO60" s="25"/>
      <c r="BP60" s="25"/>
      <c r="BQ60" s="25"/>
      <c r="BR60" s="25"/>
      <c r="BS60" s="25"/>
      <c r="BT60" s="25"/>
      <c r="BV60" s="25"/>
      <c r="BW60" s="25"/>
      <c r="CB60" s="41"/>
    </row>
    <row r="61" spans="19:80" ht="15.75" customHeight="1" x14ac:dyDescent="0.15">
      <c r="S61" s="25"/>
      <c r="T61" s="25"/>
      <c r="U61" s="25"/>
      <c r="V61" s="25"/>
      <c r="W61" s="25"/>
      <c r="X61" s="25"/>
      <c r="Y61" s="25"/>
      <c r="BO61" s="25"/>
      <c r="BP61" s="25"/>
      <c r="BQ61" s="25"/>
      <c r="BR61" s="25"/>
      <c r="BS61" s="25"/>
      <c r="BT61" s="25"/>
      <c r="BV61" s="25"/>
      <c r="BW61" s="25"/>
      <c r="CB61" s="41"/>
    </row>
    <row r="62" spans="19:80" ht="15.75" customHeight="1" x14ac:dyDescent="0.15">
      <c r="S62" s="25"/>
      <c r="T62" s="25"/>
      <c r="U62" s="25"/>
      <c r="V62" s="25"/>
      <c r="W62" s="25"/>
      <c r="X62" s="25"/>
      <c r="Y62" s="25"/>
      <c r="BO62" s="25"/>
      <c r="BP62" s="25"/>
      <c r="BQ62" s="25"/>
      <c r="BR62" s="25"/>
      <c r="BS62" s="25"/>
      <c r="BT62" s="25"/>
      <c r="BV62" s="25"/>
      <c r="BW62" s="25"/>
      <c r="CB62" s="41"/>
    </row>
    <row r="63" spans="19:80" ht="15.75" customHeight="1" x14ac:dyDescent="0.15">
      <c r="S63" s="25"/>
      <c r="T63" s="25"/>
      <c r="U63" s="25"/>
      <c r="V63" s="25"/>
      <c r="W63" s="25"/>
      <c r="X63" s="25"/>
      <c r="Y63" s="25"/>
      <c r="BO63" s="25"/>
      <c r="BP63" s="25"/>
      <c r="BQ63" s="25"/>
      <c r="BR63" s="25"/>
      <c r="BS63" s="25"/>
      <c r="BT63" s="25"/>
      <c r="BV63" s="25"/>
      <c r="BW63" s="25"/>
      <c r="CB63" s="41"/>
    </row>
    <row r="64" spans="19:80" ht="15.75" customHeight="1" x14ac:dyDescent="0.15">
      <c r="S64" s="25"/>
      <c r="T64" s="25"/>
      <c r="U64" s="25"/>
      <c r="V64" s="25"/>
      <c r="W64" s="25"/>
      <c r="X64" s="25"/>
      <c r="Y64" s="25"/>
      <c r="BO64" s="25"/>
      <c r="BP64" s="25"/>
      <c r="BQ64" s="25"/>
      <c r="BR64" s="25"/>
      <c r="BS64" s="25"/>
      <c r="BT64" s="25"/>
      <c r="BV64" s="25"/>
      <c r="BW64" s="25"/>
      <c r="CB64" s="41"/>
    </row>
    <row r="65" spans="19:80" ht="15.75" customHeight="1" x14ac:dyDescent="0.15">
      <c r="S65" s="25"/>
      <c r="T65" s="25"/>
      <c r="U65" s="25"/>
      <c r="V65" s="25"/>
      <c r="W65" s="25"/>
      <c r="X65" s="25"/>
      <c r="Y65" s="25"/>
      <c r="BO65" s="25"/>
      <c r="BP65" s="25"/>
      <c r="BQ65" s="25"/>
      <c r="BR65" s="25"/>
      <c r="BS65" s="25"/>
      <c r="BT65" s="25"/>
      <c r="BV65" s="25"/>
      <c r="BW65" s="25"/>
      <c r="CB65" s="41"/>
    </row>
    <row r="66" spans="19:80" ht="15.75" customHeight="1" x14ac:dyDescent="0.15">
      <c r="S66" s="25"/>
      <c r="T66" s="25"/>
      <c r="U66" s="25"/>
      <c r="V66" s="25"/>
      <c r="W66" s="25"/>
      <c r="X66" s="25"/>
      <c r="Y66" s="25"/>
      <c r="BO66" s="25"/>
      <c r="BP66" s="25"/>
      <c r="BQ66" s="25"/>
      <c r="BR66" s="25"/>
      <c r="BS66" s="25"/>
      <c r="BT66" s="25"/>
      <c r="BV66" s="25"/>
      <c r="BW66" s="25"/>
      <c r="CB66" s="41"/>
    </row>
    <row r="67" spans="19:80" ht="15.75" customHeight="1" x14ac:dyDescent="0.15">
      <c r="S67" s="25"/>
      <c r="T67" s="25"/>
      <c r="U67" s="25"/>
      <c r="V67" s="25"/>
      <c r="W67" s="25"/>
      <c r="X67" s="25"/>
      <c r="Y67" s="25"/>
      <c r="BO67" s="25"/>
      <c r="BP67" s="25"/>
      <c r="BQ67" s="25"/>
      <c r="BR67" s="25"/>
      <c r="BS67" s="25"/>
      <c r="BT67" s="25"/>
      <c r="BV67" s="25"/>
      <c r="BW67" s="25"/>
      <c r="CB67" s="41"/>
    </row>
    <row r="68" spans="19:80" ht="15.75" customHeight="1" x14ac:dyDescent="0.15">
      <c r="S68" s="25"/>
      <c r="T68" s="25"/>
      <c r="U68" s="25"/>
      <c r="V68" s="25"/>
      <c r="W68" s="25"/>
      <c r="X68" s="25"/>
      <c r="Y68" s="25"/>
      <c r="BO68" s="25"/>
      <c r="BP68" s="25"/>
      <c r="BQ68" s="25"/>
      <c r="BR68" s="25"/>
      <c r="BS68" s="25"/>
      <c r="BT68" s="25"/>
      <c r="BV68" s="25"/>
      <c r="BW68" s="25"/>
      <c r="CB68" s="41"/>
    </row>
    <row r="69" spans="19:80" ht="15.75" customHeight="1" x14ac:dyDescent="0.15">
      <c r="S69" s="25"/>
      <c r="T69" s="25"/>
      <c r="U69" s="25"/>
      <c r="V69" s="25"/>
      <c r="W69" s="25"/>
      <c r="X69" s="25"/>
      <c r="Y69" s="25"/>
      <c r="BO69" s="25"/>
      <c r="BP69" s="25"/>
      <c r="BQ69" s="25"/>
      <c r="BR69" s="25"/>
      <c r="BS69" s="25"/>
      <c r="BT69" s="25"/>
      <c r="BV69" s="25"/>
      <c r="BW69" s="25"/>
      <c r="CB69" s="41"/>
    </row>
    <row r="70" spans="19:80" ht="15.75" customHeight="1" x14ac:dyDescent="0.15">
      <c r="S70" s="25"/>
      <c r="T70" s="25"/>
      <c r="U70" s="25"/>
      <c r="V70" s="25"/>
      <c r="W70" s="25"/>
      <c r="X70" s="25"/>
      <c r="Y70" s="25"/>
      <c r="BO70" s="25"/>
      <c r="BP70" s="25"/>
      <c r="BQ70" s="25"/>
      <c r="BR70" s="25"/>
      <c r="BS70" s="25"/>
      <c r="BT70" s="25"/>
      <c r="BV70" s="25"/>
      <c r="BW70" s="25"/>
      <c r="CB70" s="41"/>
    </row>
    <row r="71" spans="19:80" ht="15.75" customHeight="1" x14ac:dyDescent="0.15">
      <c r="S71" s="25"/>
      <c r="T71" s="25"/>
      <c r="U71" s="25"/>
      <c r="V71" s="25"/>
      <c r="W71" s="25"/>
      <c r="X71" s="25"/>
      <c r="Y71" s="25"/>
      <c r="BO71" s="25"/>
      <c r="BP71" s="25"/>
      <c r="BQ71" s="25"/>
      <c r="BR71" s="25"/>
      <c r="BS71" s="25"/>
      <c r="BT71" s="25"/>
      <c r="BV71" s="25"/>
      <c r="BW71" s="25"/>
      <c r="CB71" s="41"/>
    </row>
    <row r="72" spans="19:80" ht="15.75" customHeight="1" x14ac:dyDescent="0.15">
      <c r="S72" s="25"/>
      <c r="T72" s="25"/>
      <c r="U72" s="25"/>
      <c r="V72" s="25"/>
      <c r="W72" s="25"/>
      <c r="X72" s="25"/>
      <c r="Y72" s="25"/>
      <c r="BO72" s="25"/>
      <c r="BP72" s="25"/>
      <c r="BQ72" s="25"/>
      <c r="BR72" s="25"/>
      <c r="BS72" s="25"/>
      <c r="BT72" s="25"/>
      <c r="BV72" s="25"/>
      <c r="BW72" s="25"/>
      <c r="CB72" s="41"/>
    </row>
    <row r="73" spans="19:80" ht="15.75" customHeight="1" x14ac:dyDescent="0.15">
      <c r="S73" s="25"/>
      <c r="T73" s="25"/>
      <c r="U73" s="25"/>
      <c r="V73" s="25"/>
      <c r="W73" s="25"/>
      <c r="X73" s="25"/>
      <c r="Y73" s="25"/>
      <c r="BO73" s="25"/>
      <c r="BP73" s="25"/>
      <c r="BQ73" s="25"/>
      <c r="BR73" s="25"/>
      <c r="BS73" s="25"/>
      <c r="BT73" s="25"/>
      <c r="BV73" s="25"/>
      <c r="BW73" s="25"/>
      <c r="CB73" s="41"/>
    </row>
    <row r="74" spans="19:80" ht="15.75" customHeight="1" x14ac:dyDescent="0.15">
      <c r="S74" s="25"/>
      <c r="T74" s="25"/>
      <c r="U74" s="25"/>
      <c r="V74" s="25"/>
      <c r="W74" s="25"/>
      <c r="X74" s="25"/>
      <c r="Y74" s="25"/>
      <c r="BO74" s="25"/>
      <c r="BP74" s="25"/>
      <c r="BQ74" s="25"/>
      <c r="BR74" s="25"/>
      <c r="BS74" s="25"/>
      <c r="BT74" s="25"/>
      <c r="BV74" s="25"/>
      <c r="BW74" s="25"/>
      <c r="CB74" s="41"/>
    </row>
    <row r="75" spans="19:80" ht="15.75" customHeight="1" x14ac:dyDescent="0.15">
      <c r="S75" s="25"/>
      <c r="T75" s="25"/>
      <c r="U75" s="25"/>
      <c r="V75" s="25"/>
      <c r="W75" s="25"/>
      <c r="X75" s="25"/>
      <c r="Y75" s="25"/>
      <c r="BO75" s="25"/>
      <c r="BP75" s="25"/>
      <c r="BQ75" s="25"/>
      <c r="BR75" s="25"/>
      <c r="BS75" s="25"/>
      <c r="BT75" s="25"/>
      <c r="BV75" s="25"/>
      <c r="BW75" s="25"/>
      <c r="CB75" s="41"/>
    </row>
    <row r="76" spans="19:80" ht="15.75" customHeight="1" x14ac:dyDescent="0.15">
      <c r="S76" s="25"/>
      <c r="T76" s="25"/>
      <c r="U76" s="25"/>
      <c r="V76" s="25"/>
      <c r="W76" s="25"/>
      <c r="X76" s="25"/>
      <c r="Y76" s="25"/>
      <c r="BO76" s="25"/>
      <c r="BP76" s="25"/>
      <c r="BQ76" s="25"/>
      <c r="BR76" s="25"/>
      <c r="BS76" s="25"/>
      <c r="BT76" s="25"/>
      <c r="BV76" s="25"/>
      <c r="BW76" s="25"/>
      <c r="CB76" s="41"/>
    </row>
    <row r="77" spans="19:80" ht="15.75" customHeight="1" x14ac:dyDescent="0.15">
      <c r="S77" s="25"/>
      <c r="T77" s="25"/>
      <c r="U77" s="25"/>
      <c r="V77" s="25"/>
      <c r="W77" s="25"/>
      <c r="X77" s="25"/>
      <c r="Y77" s="25"/>
      <c r="BO77" s="25"/>
      <c r="BP77" s="25"/>
      <c r="BQ77" s="25"/>
      <c r="BR77" s="25"/>
      <c r="BS77" s="25"/>
      <c r="BT77" s="25"/>
      <c r="BV77" s="25"/>
      <c r="BW77" s="25"/>
      <c r="CB77" s="41"/>
    </row>
    <row r="78" spans="19:80" ht="15.75" customHeight="1" x14ac:dyDescent="0.15">
      <c r="S78" s="25"/>
      <c r="T78" s="25"/>
      <c r="U78" s="25"/>
      <c r="V78" s="25"/>
      <c r="W78" s="25"/>
      <c r="X78" s="25"/>
      <c r="Y78" s="25"/>
      <c r="BO78" s="25"/>
      <c r="BP78" s="25"/>
      <c r="BQ78" s="25"/>
      <c r="BR78" s="25"/>
      <c r="BS78" s="25"/>
      <c r="BT78" s="25"/>
      <c r="BV78" s="25"/>
      <c r="BW78" s="25"/>
      <c r="CB78" s="41"/>
    </row>
    <row r="79" spans="19:80" ht="15.75" customHeight="1" x14ac:dyDescent="0.15">
      <c r="S79" s="25"/>
      <c r="T79" s="25"/>
      <c r="U79" s="25"/>
      <c r="V79" s="25"/>
      <c r="W79" s="25"/>
      <c r="X79" s="25"/>
      <c r="Y79" s="25"/>
      <c r="BO79" s="25"/>
      <c r="BP79" s="25"/>
      <c r="BQ79" s="25"/>
      <c r="BR79" s="25"/>
      <c r="BS79" s="25"/>
      <c r="BT79" s="25"/>
      <c r="BV79" s="25"/>
      <c r="BW79" s="25"/>
      <c r="CB79" s="41"/>
    </row>
    <row r="80" spans="19:80" ht="15.75" customHeight="1" x14ac:dyDescent="0.15">
      <c r="S80" s="25"/>
      <c r="T80" s="25"/>
      <c r="U80" s="25"/>
      <c r="V80" s="25"/>
      <c r="W80" s="25"/>
      <c r="X80" s="25"/>
      <c r="Y80" s="25"/>
      <c r="BO80" s="25"/>
      <c r="BP80" s="25"/>
      <c r="BQ80" s="25"/>
      <c r="BR80" s="25"/>
      <c r="BS80" s="25"/>
      <c r="BT80" s="25"/>
      <c r="BV80" s="25"/>
      <c r="BW80" s="25"/>
      <c r="CB80" s="41"/>
    </row>
    <row r="81" spans="80:80" ht="15.75" customHeight="1" x14ac:dyDescent="0.15">
      <c r="CB81" s="41"/>
    </row>
    <row r="82" spans="80:80" ht="15.75" customHeight="1" x14ac:dyDescent="0.15">
      <c r="CB82" s="41"/>
    </row>
    <row r="83" spans="80:80" ht="15.75" customHeight="1" x14ac:dyDescent="0.15">
      <c r="CB83" s="41"/>
    </row>
    <row r="84" spans="80:80" ht="15.75" customHeight="1" x14ac:dyDescent="0.15">
      <c r="CB84" s="41"/>
    </row>
    <row r="85" spans="80:80" ht="15.75" customHeight="1" x14ac:dyDescent="0.15">
      <c r="CB85" s="41"/>
    </row>
    <row r="86" spans="80:80" ht="15.75" customHeight="1" x14ac:dyDescent="0.15">
      <c r="CB86" s="41"/>
    </row>
    <row r="87" spans="80:80" ht="15.75" customHeight="1" x14ac:dyDescent="0.15">
      <c r="CB87" s="41"/>
    </row>
    <row r="88" spans="80:80" ht="15.75" customHeight="1" x14ac:dyDescent="0.15">
      <c r="CB88" s="41"/>
    </row>
    <row r="89" spans="80:80" ht="15.75" customHeight="1" x14ac:dyDescent="0.15">
      <c r="CB89" s="41"/>
    </row>
    <row r="90" spans="80:80" ht="15.75" customHeight="1" x14ac:dyDescent="0.15">
      <c r="CB90" s="41"/>
    </row>
    <row r="91" spans="80:80" ht="15.75" customHeight="1" x14ac:dyDescent="0.15">
      <c r="CB91" s="41"/>
    </row>
    <row r="92" spans="80:80" ht="15.75" customHeight="1" x14ac:dyDescent="0.15">
      <c r="CB92" s="41"/>
    </row>
    <row r="93" spans="80:80" ht="15.75" customHeight="1" x14ac:dyDescent="0.15">
      <c r="CB93" s="41"/>
    </row>
    <row r="94" spans="80:80" ht="15.75" customHeight="1" x14ac:dyDescent="0.15">
      <c r="CB94" s="41"/>
    </row>
    <row r="95" spans="80:80" ht="15.75" customHeight="1" x14ac:dyDescent="0.15">
      <c r="CB95" s="41"/>
    </row>
    <row r="96" spans="80:80" ht="15.75" customHeight="1" x14ac:dyDescent="0.15">
      <c r="CB96" s="41"/>
    </row>
    <row r="97" spans="80:80" ht="15.75" customHeight="1" x14ac:dyDescent="0.15">
      <c r="CB97" s="41"/>
    </row>
    <row r="98" spans="80:80" ht="15.75" customHeight="1" x14ac:dyDescent="0.15">
      <c r="CB98" s="41"/>
    </row>
    <row r="99" spans="80:80" ht="15.75" customHeight="1" x14ac:dyDescent="0.15">
      <c r="CB99" s="41"/>
    </row>
    <row r="100" spans="80:80" ht="15.75" customHeight="1" x14ac:dyDescent="0.15">
      <c r="CB100" s="41"/>
    </row>
    <row r="101" spans="80:80" ht="15.75" customHeight="1" x14ac:dyDescent="0.15">
      <c r="CB101" s="41"/>
    </row>
    <row r="102" spans="80:80" ht="15.75" customHeight="1" x14ac:dyDescent="0.15">
      <c r="CB102" s="41"/>
    </row>
    <row r="103" spans="80:80" ht="15.75" customHeight="1" x14ac:dyDescent="0.15">
      <c r="CB103" s="41"/>
    </row>
    <row r="104" spans="80:80" ht="15.75" customHeight="1" x14ac:dyDescent="0.15">
      <c r="CB104" s="41"/>
    </row>
    <row r="105" spans="80:80" ht="15.75" customHeight="1" x14ac:dyDescent="0.15">
      <c r="CB105" s="41"/>
    </row>
    <row r="106" spans="80:80" ht="15.75" customHeight="1" x14ac:dyDescent="0.15">
      <c r="CB106" s="41"/>
    </row>
  </sheetData>
  <autoFilter ref="C7:CA9" xr:uid="{00000000-0001-0000-0000-000000000000}"/>
  <conditionalFormatting sqref="N12:N21">
    <cfRule type="colorScale" priority="71">
      <colorScale>
        <cfvo type="min"/>
        <cfvo type="max"/>
        <color rgb="FF57BB8A"/>
        <color rgb="FFFFFFFF"/>
      </colorScale>
    </cfRule>
  </conditionalFormatting>
  <conditionalFormatting sqref="G9:G21">
    <cfRule type="colorScale" priority="84">
      <colorScale>
        <cfvo type="min"/>
        <cfvo type="max"/>
        <color rgb="FFFCFCFF"/>
        <color rgb="FF63BE7B"/>
      </colorScale>
    </cfRule>
  </conditionalFormatting>
  <conditionalFormatting sqref="G8:G21"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D8" r:id="rId1" xr:uid="{7C6EB45C-0E6E-4D10-A735-950D013F13AD}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Utleieleiligheter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Gjøsund</dc:creator>
  <cp:lastModifiedBy>Jon Gjøsund</cp:lastModifiedBy>
  <dcterms:created xsi:type="dcterms:W3CDTF">2026-01-20T06:44:06Z</dcterms:created>
  <dcterms:modified xsi:type="dcterms:W3CDTF">2026-03-07T09:25:55Z</dcterms:modified>
</cp:coreProperties>
</file>